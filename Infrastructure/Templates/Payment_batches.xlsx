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\Africa Lead Corporation\Clients\RTC\AUMAMS\"/>
    </mc:Choice>
  </mc:AlternateContent>
  <xr:revisionPtr revIDLastSave="0" documentId="13_ncr:1_{BB920386-434E-4701-BB9C-A4DD50717D19}" xr6:coauthVersionLast="47" xr6:coauthVersionMax="47" xr10:uidLastSave="{00000000-0000-0000-0000-000000000000}"/>
  <bookViews>
    <workbookView xWindow="-120" yWindow="-120" windowWidth="29040" windowHeight="15720" xr2:uid="{2444A68C-DBC9-42D0-98E3-513CA048D4C3}"/>
  </bookViews>
  <sheets>
    <sheet name="REEL" sheetId="1" r:id="rId1"/>
    <sheet name="SIMPLIFIER" sheetId="2" r:id="rId2"/>
    <sheet name="LIBERA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E10" i="3"/>
  <c r="I9" i="3"/>
  <c r="G9" i="3"/>
  <c r="H9" i="3" s="1"/>
  <c r="J9" i="3" s="1"/>
  <c r="I8" i="3"/>
  <c r="G8" i="3"/>
  <c r="G10" i="2"/>
  <c r="E10" i="2"/>
  <c r="F9" i="2"/>
  <c r="I9" i="2" s="1"/>
  <c r="F8" i="2"/>
  <c r="I8" i="2" s="1"/>
  <c r="H7" i="2"/>
  <c r="H10" i="2" s="1"/>
  <c r="F7" i="2"/>
  <c r="I7" i="2" s="1"/>
  <c r="E10" i="1"/>
  <c r="F9" i="1"/>
  <c r="I9" i="1" s="1"/>
  <c r="F8" i="1"/>
  <c r="I8" i="1" s="1"/>
  <c r="G7" i="1"/>
  <c r="G10" i="1" s="1"/>
  <c r="F7" i="1"/>
  <c r="I7" i="1" s="1"/>
  <c r="G10" i="3" l="1"/>
  <c r="H8" i="3"/>
  <c r="J8" i="3" s="1"/>
  <c r="J10" i="3" s="1"/>
  <c r="I10" i="3"/>
  <c r="I10" i="1"/>
  <c r="I10" i="2"/>
  <c r="F10" i="2"/>
  <c r="H7" i="1"/>
  <c r="H10" i="1" s="1"/>
  <c r="F10" i="1"/>
  <c r="H10" i="3" l="1"/>
</calcChain>
</file>

<file path=xl/sharedStrings.xml><?xml version="1.0" encoding="utf-8"?>
<sst xmlns="http://schemas.openxmlformats.org/spreadsheetml/2006/main" count="45" uniqueCount="30">
  <si>
    <t>LOT DE MISE EN PAIEMENT RESOLVE SARL</t>
  </si>
  <si>
    <t>DATE</t>
  </si>
  <si>
    <t>N° COMPTE</t>
  </si>
  <si>
    <t>N° FACTURES</t>
  </si>
  <si>
    <t>LIBELLES</t>
  </si>
  <si>
    <t>MONTANT XAF</t>
  </si>
  <si>
    <t>IS 2.2%</t>
  </si>
  <si>
    <t>TVA 19.25%</t>
  </si>
  <si>
    <t xml:space="preserve">MONTANT TTC </t>
  </si>
  <si>
    <t>NET A PAYER</t>
  </si>
  <si>
    <t>TOTAUX</t>
  </si>
  <si>
    <t>LOT DE MISE EN PAIEMENT GNC SARL</t>
  </si>
  <si>
    <t>IS 5.5%</t>
  </si>
  <si>
    <t>FL200614</t>
  </si>
  <si>
    <t>004/2025</t>
  </si>
  <si>
    <t>SUPPORT TECHNIQUE MAINTENANCE DES CAMERAS</t>
  </si>
  <si>
    <t>LOT DE MISE EN PAIEMENT  CABINET  D'AVOCAT KOUOTOU &amp; CO°</t>
  </si>
  <si>
    <t xml:space="preserve">MONTANTS </t>
  </si>
  <si>
    <t>TVA 19,25%</t>
  </si>
  <si>
    <t>MONTANT TTC</t>
  </si>
  <si>
    <t>IS 5,5%</t>
  </si>
  <si>
    <t>TAXABLE</t>
  </si>
  <si>
    <t>NON TAXABLE</t>
  </si>
  <si>
    <t>FL200285</t>
  </si>
  <si>
    <t>2025/07/041/NKF/K&amp;C°</t>
  </si>
  <si>
    <t>HONORAIRES AFFAIRE PAD VS CONGELCAM - MAERSK- MSC- CMA CGM</t>
  </si>
  <si>
    <r>
      <t xml:space="preserve">2024-05-14 </t>
    </r>
    <r>
      <rPr>
        <sz val="11"/>
        <color rgb="FFFF0000"/>
        <rFont val="Century Gothic"/>
        <family val="2"/>
      </rPr>
      <t>(1)</t>
    </r>
  </si>
  <si>
    <r>
      <t xml:space="preserve">FL200428 </t>
    </r>
    <r>
      <rPr>
        <sz val="11"/>
        <color rgb="FFFF0000"/>
        <rFont val="Century Gothic"/>
        <family val="2"/>
      </rPr>
      <t>(2)</t>
    </r>
  </si>
  <si>
    <r>
      <t xml:space="preserve">R23/DG/FP/RTC/140424 </t>
    </r>
    <r>
      <rPr>
        <sz val="11"/>
        <color rgb="FFFF0000"/>
        <rFont val="Century Gothic"/>
        <family val="2"/>
      </rPr>
      <t>(3)</t>
    </r>
  </si>
  <si>
    <r>
      <t xml:space="preserve">BROYEUR DE PAPIER 30L </t>
    </r>
    <r>
      <rPr>
        <sz val="11"/>
        <color rgb="FFFF0000"/>
        <rFont val="Century Gothic"/>
        <family val="2"/>
      </rPr>
      <t>(4)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</si>
</sst>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entury Gothic"/>
      <family val="2"/>
    </font>
    <font>
      <b/>
      <sz val="12"/>
      <color theme="1"/>
      <name val="Century Gothic"/>
      <family val="2"/>
    </font>
    <font>
      <sz val="11"/>
      <color theme="1"/>
      <name val="Century Gothic"/>
      <family val="2"/>
    </font>
    <font>
      <b/>
      <sz val="14"/>
      <color theme="0"/>
      <name val="Century Gothic"/>
      <family val="2"/>
    </font>
    <font>
      <sz val="11"/>
      <color rgb="FFFF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9" fontId="2" fillId="0" borderId="0" xfId="0" applyNumberFormat="1" applyFont="1"/>
    <xf numFmtId="0" fontId="2" fillId="0" borderId="0" xfId="0" applyFont="1"/>
    <xf numFmtId="0" fontId="4" fillId="3" borderId="4" xfId="0" applyFont="1" applyFill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/>
    <xf numFmtId="164" fontId="5" fillId="0" borderId="4" xfId="1" applyNumberFormat="1" applyFont="1" applyBorder="1" applyAlignment="1">
      <alignment horizontal="center"/>
    </xf>
    <xf numFmtId="164" fontId="6" fillId="2" borderId="4" xfId="1" applyNumberFormat="1" applyFont="1" applyFill="1" applyBorder="1" applyAlignment="1">
      <alignment horizontal="center"/>
    </xf>
    <xf numFmtId="0" fontId="0" fillId="2" borderId="0" xfId="0" applyFill="1"/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14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4" xfId="0" applyFont="1" applyFill="1" applyBorder="1"/>
    <xf numFmtId="164" fontId="5" fillId="4" borderId="4" xfId="1" applyNumberFormat="1" applyFont="1" applyFill="1" applyBorder="1" applyAlignment="1">
      <alignment horizontal="center"/>
    </xf>
    <xf numFmtId="164" fontId="5" fillId="4" borderId="4" xfId="1" quotePrefix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38099</xdr:colOff>
      <xdr:row>2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23DA3DB-B0FA-4C4C-B7EA-A26C581FF88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0"/>
          <a:ext cx="923925" cy="5429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133349</xdr:colOff>
      <xdr:row>2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0983A10-D3DB-422F-B9F5-8741D63CA2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0"/>
          <a:ext cx="923925" cy="5429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0</xdr:rowOff>
    </xdr:from>
    <xdr:to>
      <xdr:col>1</xdr:col>
      <xdr:colOff>133349</xdr:colOff>
      <xdr:row>2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61728143-CDE5-4EEA-AC43-6DF26B2F3B7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0"/>
          <a:ext cx="9239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0</xdr:row>
      <xdr:rowOff>0</xdr:rowOff>
    </xdr:from>
    <xdr:to>
      <xdr:col>1</xdr:col>
      <xdr:colOff>133349</xdr:colOff>
      <xdr:row>2</xdr:row>
      <xdr:rowOff>161925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D9D2C43-B2CE-416B-84DE-D547D18992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0"/>
          <a:ext cx="923925" cy="5429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</xdr:colOff>
      <xdr:row>0</xdr:row>
      <xdr:rowOff>0</xdr:rowOff>
    </xdr:from>
    <xdr:to>
      <xdr:col>1</xdr:col>
      <xdr:colOff>133349</xdr:colOff>
      <xdr:row>2</xdr:row>
      <xdr:rowOff>161925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755768AF-6121-4416-BA9E-1AED62653BF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0"/>
          <a:ext cx="92392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A608F-FEC7-44CC-A654-5E1D4B41B062}">
  <dimension ref="A3:I10"/>
  <sheetViews>
    <sheetView tabSelected="1" workbookViewId="0">
      <selection activeCell="E7" sqref="E7"/>
    </sheetView>
  </sheetViews>
  <sheetFormatPr defaultColWidth="11.42578125" defaultRowHeight="15" x14ac:dyDescent="0.25"/>
  <cols>
    <col min="1" max="1" width="13.5703125" customWidth="1"/>
    <col min="2" max="2" width="17.7109375" customWidth="1"/>
    <col min="3" max="3" width="28.7109375" customWidth="1"/>
    <col min="4" max="4" width="31.5703125" customWidth="1"/>
    <col min="5" max="5" width="36.85546875" customWidth="1"/>
    <col min="6" max="6" width="18.5703125" customWidth="1"/>
    <col min="7" max="7" width="13.85546875" bestFit="1" customWidth="1"/>
    <col min="8" max="8" width="24.140625" customWidth="1"/>
    <col min="9" max="9" width="19.85546875" customWidth="1"/>
  </cols>
  <sheetData>
    <row r="3" spans="1:9" ht="15.75" thickBot="1" x14ac:dyDescent="0.3"/>
    <row r="4" spans="1:9" ht="26.25" thickBot="1" x14ac:dyDescent="0.3">
      <c r="A4" s="17" t="s">
        <v>0</v>
      </c>
      <c r="B4" s="18"/>
      <c r="C4" s="18"/>
      <c r="D4" s="18"/>
      <c r="E4" s="18"/>
      <c r="F4" s="18"/>
      <c r="G4" s="18"/>
      <c r="H4" s="18"/>
      <c r="I4" s="19"/>
    </row>
    <row r="5" spans="1:9" x14ac:dyDescent="0.25">
      <c r="F5" s="1">
        <v>5.5E-2</v>
      </c>
      <c r="G5" s="1"/>
      <c r="H5" s="1"/>
      <c r="I5" s="2">
        <v>655.95699999999999</v>
      </c>
    </row>
    <row r="6" spans="1:9" x14ac:dyDescent="0.25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</row>
    <row r="7" spans="1:9" ht="16.5" x14ac:dyDescent="0.3">
      <c r="A7" s="4" t="s">
        <v>26</v>
      </c>
      <c r="B7" s="5" t="s">
        <v>27</v>
      </c>
      <c r="C7" s="4" t="s">
        <v>28</v>
      </c>
      <c r="D7" s="6" t="s">
        <v>29</v>
      </c>
      <c r="E7" s="7">
        <v>210000</v>
      </c>
      <c r="F7" s="7">
        <f>E7*2.2%</f>
        <v>4620.0000000000009</v>
      </c>
      <c r="G7" s="7">
        <f>E7*19.25%</f>
        <v>40425</v>
      </c>
      <c r="H7" s="7">
        <f>E7+G7</f>
        <v>250425</v>
      </c>
      <c r="I7" s="7">
        <f>E7-F7</f>
        <v>205380</v>
      </c>
    </row>
    <row r="8" spans="1:9" ht="16.5" x14ac:dyDescent="0.3">
      <c r="A8" s="4"/>
      <c r="B8" s="5"/>
      <c r="C8" s="4"/>
      <c r="D8" s="6"/>
      <c r="E8" s="7"/>
      <c r="F8" s="7">
        <f>E8*5.5%</f>
        <v>0</v>
      </c>
      <c r="G8" s="7"/>
      <c r="H8" s="7"/>
      <c r="I8" s="7">
        <f>E8-F8</f>
        <v>0</v>
      </c>
    </row>
    <row r="9" spans="1:9" ht="16.5" x14ac:dyDescent="0.3">
      <c r="A9" s="4"/>
      <c r="B9" s="5"/>
      <c r="C9" s="4"/>
      <c r="D9" s="6"/>
      <c r="E9" s="7"/>
      <c r="F9" s="7">
        <f>E9*5.5%</f>
        <v>0</v>
      </c>
      <c r="G9" s="7"/>
      <c r="H9" s="7"/>
      <c r="I9" s="7">
        <f>E9-F9</f>
        <v>0</v>
      </c>
    </row>
    <row r="10" spans="1:9" ht="18" x14ac:dyDescent="0.25">
      <c r="A10" s="20" t="s">
        <v>10</v>
      </c>
      <c r="B10" s="20"/>
      <c r="C10" s="20"/>
      <c r="D10" s="20"/>
      <c r="E10" s="8">
        <f>SUM(E7:E9)</f>
        <v>210000</v>
      </c>
      <c r="F10" s="8">
        <f>SUM(F7:F9)</f>
        <v>4620.0000000000009</v>
      </c>
      <c r="G10" s="8">
        <f>SUM(G7:G9)</f>
        <v>40425</v>
      </c>
      <c r="H10" s="8">
        <f>SUM(H7)</f>
        <v>250425</v>
      </c>
      <c r="I10" s="8">
        <f>SUM(I7:I9)</f>
        <v>205380</v>
      </c>
    </row>
  </sheetData>
  <mergeCells count="2">
    <mergeCell ref="A4:I4"/>
    <mergeCell ref="A10:D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A5526-1802-4258-918D-0A85E3147A76}">
  <dimension ref="A3:I10"/>
  <sheetViews>
    <sheetView workbookViewId="0">
      <selection activeCell="J9" sqref="J9"/>
    </sheetView>
  </sheetViews>
  <sheetFormatPr defaultColWidth="11.42578125" defaultRowHeight="15" x14ac:dyDescent="0.25"/>
  <cols>
    <col min="1" max="1" width="12.140625" bestFit="1" customWidth="1"/>
    <col min="2" max="2" width="13.42578125" bestFit="1" customWidth="1"/>
    <col min="3" max="3" width="21.28515625" customWidth="1"/>
    <col min="4" max="4" width="62.85546875" customWidth="1"/>
    <col min="5" max="5" width="20.28515625" customWidth="1"/>
    <col min="6" max="6" width="19" customWidth="1"/>
    <col min="7" max="7" width="9.28515625" hidden="1" customWidth="1"/>
    <col min="8" max="8" width="24.140625" customWidth="1"/>
    <col min="9" max="9" width="19.28515625" customWidth="1"/>
  </cols>
  <sheetData>
    <row r="3" spans="1:9" ht="15.75" thickBot="1" x14ac:dyDescent="0.3"/>
    <row r="4" spans="1:9" ht="26.25" thickBot="1" x14ac:dyDescent="0.3">
      <c r="A4" s="17" t="s">
        <v>11</v>
      </c>
      <c r="B4" s="18"/>
      <c r="C4" s="18"/>
      <c r="D4" s="18"/>
      <c r="E4" s="18"/>
      <c r="F4" s="18"/>
      <c r="G4" s="18"/>
      <c r="H4" s="18"/>
      <c r="I4" s="19"/>
    </row>
    <row r="5" spans="1:9" x14ac:dyDescent="0.25">
      <c r="F5" s="1">
        <v>5.5E-2</v>
      </c>
      <c r="G5" s="1"/>
      <c r="H5" s="1"/>
      <c r="I5" s="2">
        <v>655.95699999999999</v>
      </c>
    </row>
    <row r="6" spans="1:9" x14ac:dyDescent="0.25">
      <c r="A6" s="3" t="s">
        <v>1</v>
      </c>
      <c r="B6" s="3" t="s">
        <v>2</v>
      </c>
      <c r="C6" s="3" t="s">
        <v>3</v>
      </c>
      <c r="D6" s="3" t="s">
        <v>4</v>
      </c>
      <c r="E6" s="3" t="s">
        <v>5</v>
      </c>
      <c r="F6" s="3" t="s">
        <v>12</v>
      </c>
      <c r="G6" s="3" t="s">
        <v>7</v>
      </c>
      <c r="H6" s="3" t="s">
        <v>8</v>
      </c>
      <c r="I6" s="3" t="s">
        <v>9</v>
      </c>
    </row>
    <row r="7" spans="1:9" ht="16.5" x14ac:dyDescent="0.3">
      <c r="A7" s="4">
        <v>45768</v>
      </c>
      <c r="B7" s="5" t="s">
        <v>13</v>
      </c>
      <c r="C7" s="4" t="s">
        <v>14</v>
      </c>
      <c r="D7" s="6" t="s">
        <v>15</v>
      </c>
      <c r="E7" s="7">
        <v>2000000</v>
      </c>
      <c r="F7" s="7">
        <f>E7*5.5%</f>
        <v>110000</v>
      </c>
      <c r="G7" s="7">
        <v>0</v>
      </c>
      <c r="H7" s="7">
        <f>E7+G7</f>
        <v>2000000</v>
      </c>
      <c r="I7" s="7">
        <f>E7-F7</f>
        <v>1890000</v>
      </c>
    </row>
    <row r="8" spans="1:9" ht="16.5" x14ac:dyDescent="0.3">
      <c r="A8" s="4"/>
      <c r="B8" s="5"/>
      <c r="C8" s="4"/>
      <c r="D8" s="6"/>
      <c r="E8" s="7"/>
      <c r="F8" s="7">
        <f>E8*5.5%</f>
        <v>0</v>
      </c>
      <c r="G8" s="7"/>
      <c r="H8" s="7"/>
      <c r="I8" s="7">
        <f>E8-F8</f>
        <v>0</v>
      </c>
    </row>
    <row r="9" spans="1:9" ht="16.5" x14ac:dyDescent="0.3">
      <c r="A9" s="4"/>
      <c r="B9" s="5"/>
      <c r="C9" s="4"/>
      <c r="D9" s="6"/>
      <c r="E9" s="7"/>
      <c r="F9" s="7">
        <f>E9*5.5%</f>
        <v>0</v>
      </c>
      <c r="G9" s="7"/>
      <c r="H9" s="7"/>
      <c r="I9" s="7">
        <f>E9-F9</f>
        <v>0</v>
      </c>
    </row>
    <row r="10" spans="1:9" ht="18" x14ac:dyDescent="0.25">
      <c r="A10" s="20" t="s">
        <v>10</v>
      </c>
      <c r="B10" s="20"/>
      <c r="C10" s="20"/>
      <c r="D10" s="20"/>
      <c r="E10" s="8">
        <f>SUM(E7:E9)</f>
        <v>2000000</v>
      </c>
      <c r="F10" s="8">
        <f>SUM(F7:F9)</f>
        <v>110000</v>
      </c>
      <c r="G10" s="8">
        <f>SUM(G7:G9)</f>
        <v>0</v>
      </c>
      <c r="H10" s="8">
        <f>SUM(H7)</f>
        <v>2000000</v>
      </c>
      <c r="I10" s="8">
        <f>SUM(I7:I9)</f>
        <v>1890000</v>
      </c>
    </row>
  </sheetData>
  <mergeCells count="2">
    <mergeCell ref="A4:I4"/>
    <mergeCell ref="A10:D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94CA-A37C-444A-924A-C44EED3C0E02}">
  <dimension ref="A3:J10"/>
  <sheetViews>
    <sheetView workbookViewId="0">
      <selection activeCell="D8" sqref="D8"/>
    </sheetView>
  </sheetViews>
  <sheetFormatPr defaultColWidth="11.42578125" defaultRowHeight="15" x14ac:dyDescent="0.25"/>
  <cols>
    <col min="1" max="1" width="12.140625" bestFit="1" customWidth="1"/>
    <col min="2" max="2" width="13.42578125" bestFit="1" customWidth="1"/>
    <col min="3" max="3" width="32" customWidth="1"/>
    <col min="4" max="4" width="83.140625" customWidth="1"/>
    <col min="5" max="5" width="17.42578125" bestFit="1" customWidth="1"/>
    <col min="6" max="6" width="17.28515625" customWidth="1"/>
    <col min="7" max="7" width="20.140625" customWidth="1"/>
    <col min="8" max="8" width="21.85546875" customWidth="1"/>
    <col min="9" max="9" width="16" bestFit="1" customWidth="1"/>
    <col min="10" max="10" width="17.7109375" bestFit="1" customWidth="1"/>
  </cols>
  <sheetData>
    <row r="3" spans="1:10" ht="15.75" thickBot="1" x14ac:dyDescent="0.3"/>
    <row r="4" spans="1:10" ht="26.25" thickBot="1" x14ac:dyDescent="0.3">
      <c r="A4" s="17" t="s">
        <v>16</v>
      </c>
      <c r="B4" s="18"/>
      <c r="C4" s="18"/>
      <c r="D4" s="18"/>
      <c r="E4" s="18"/>
      <c r="F4" s="18"/>
      <c r="G4" s="18"/>
      <c r="H4" s="18"/>
      <c r="I4" s="19"/>
      <c r="J4" s="9"/>
    </row>
    <row r="5" spans="1:10" x14ac:dyDescent="0.25">
      <c r="G5" s="1"/>
      <c r="H5" s="1">
        <v>5.5E-2</v>
      </c>
      <c r="I5" s="2">
        <v>655.95699999999999</v>
      </c>
    </row>
    <row r="6" spans="1:10" x14ac:dyDescent="0.25">
      <c r="A6" s="3" t="s">
        <v>1</v>
      </c>
      <c r="B6" s="3" t="s">
        <v>2</v>
      </c>
      <c r="C6" s="3" t="s">
        <v>3</v>
      </c>
      <c r="D6" s="3" t="s">
        <v>4</v>
      </c>
      <c r="E6" s="10" t="s">
        <v>17</v>
      </c>
      <c r="F6" s="11"/>
      <c r="G6" s="21" t="s">
        <v>18</v>
      </c>
      <c r="H6" s="21" t="s">
        <v>19</v>
      </c>
      <c r="I6" s="21" t="s">
        <v>20</v>
      </c>
      <c r="J6" s="21" t="s">
        <v>9</v>
      </c>
    </row>
    <row r="7" spans="1:10" ht="16.5" x14ac:dyDescent="0.3">
      <c r="A7" s="4"/>
      <c r="B7" s="5"/>
      <c r="C7" s="5"/>
      <c r="D7" s="6"/>
      <c r="E7" s="3" t="s">
        <v>21</v>
      </c>
      <c r="F7" s="3" t="s">
        <v>22</v>
      </c>
      <c r="G7" s="22"/>
      <c r="H7" s="22"/>
      <c r="I7" s="22"/>
      <c r="J7" s="22"/>
    </row>
    <row r="8" spans="1:10" ht="16.5" x14ac:dyDescent="0.3">
      <c r="A8" s="12">
        <v>45849</v>
      </c>
      <c r="B8" s="13" t="s">
        <v>23</v>
      </c>
      <c r="C8" s="13" t="s">
        <v>24</v>
      </c>
      <c r="D8" s="14" t="s">
        <v>25</v>
      </c>
      <c r="E8" s="15">
        <v>85500000</v>
      </c>
      <c r="F8" s="15"/>
      <c r="G8" s="15">
        <f>E8*19.25%</f>
        <v>16458750</v>
      </c>
      <c r="H8" s="15">
        <f>E8+F8+G8</f>
        <v>101958750</v>
      </c>
      <c r="I8" s="15">
        <f>E8*5.5%</f>
        <v>4702500</v>
      </c>
      <c r="J8" s="16">
        <f>H8-G8-I8</f>
        <v>80797500</v>
      </c>
    </row>
    <row r="9" spans="1:10" ht="16.5" x14ac:dyDescent="0.3">
      <c r="A9" s="4"/>
      <c r="B9" s="5"/>
      <c r="C9" s="5"/>
      <c r="D9" s="6"/>
      <c r="E9" s="7"/>
      <c r="F9" s="7"/>
      <c r="G9" s="15">
        <f>E9*19.25%</f>
        <v>0</v>
      </c>
      <c r="H9" s="15">
        <f>E9+F9+G9</f>
        <v>0</v>
      </c>
      <c r="I9" s="15">
        <f>E9*5.5%</f>
        <v>0</v>
      </c>
      <c r="J9" s="16">
        <f>H9-G9-I9</f>
        <v>0</v>
      </c>
    </row>
    <row r="10" spans="1:10" ht="18" x14ac:dyDescent="0.25">
      <c r="A10" s="20" t="s">
        <v>10</v>
      </c>
      <c r="B10" s="20"/>
      <c r="C10" s="20"/>
      <c r="D10" s="20"/>
      <c r="E10" s="8">
        <f t="shared" ref="E10:J10" si="0">SUM(E8:E9)</f>
        <v>85500000</v>
      </c>
      <c r="F10" s="8">
        <f t="shared" si="0"/>
        <v>0</v>
      </c>
      <c r="G10" s="8">
        <f t="shared" si="0"/>
        <v>16458750</v>
      </c>
      <c r="H10" s="8">
        <f t="shared" si="0"/>
        <v>101958750</v>
      </c>
      <c r="I10" s="8">
        <f t="shared" si="0"/>
        <v>4702500</v>
      </c>
      <c r="J10" s="8">
        <f t="shared" si="0"/>
        <v>80797500</v>
      </c>
    </row>
  </sheetData>
  <mergeCells count="6">
    <mergeCell ref="J6:J7"/>
    <mergeCell ref="A4:I4"/>
    <mergeCell ref="A10:D10"/>
    <mergeCell ref="G6:G7"/>
    <mergeCell ref="H6:H7"/>
    <mergeCell ref="I6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REEL</vt:lpstr>
      <vt:lpstr>SIMPLIFIER</vt:lpstr>
      <vt:lpstr>LIBERAL</vt:lpstr>
    </vt:vector>
  </TitlesOfParts>
  <Company>REGIE DU TERMINAL A CONTENEURS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ASONGANYI Nora</dc:creator>
  <cp:lastModifiedBy>Ousmanou Boubakari</cp:lastModifiedBy>
  <dcterms:created xsi:type="dcterms:W3CDTF">2025-08-19T14:42:52Z</dcterms:created>
  <dcterms:modified xsi:type="dcterms:W3CDTF">2025-08-24T18:37:50Z</dcterms:modified>
</cp:coreProperties>
</file>