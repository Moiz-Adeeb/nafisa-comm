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WebProjects\Web API\mail_api\Infrastructure\Templates\"/>
    </mc:Choice>
  </mc:AlternateContent>
  <xr:revisionPtr revIDLastSave="0" documentId="13_ncr:1_{7ED31D19-58E4-422C-B065-563DE19B9346}" xr6:coauthVersionLast="47" xr6:coauthVersionMax="47" xr10:uidLastSave="{00000000-0000-0000-0000-000000000000}"/>
  <bookViews>
    <workbookView xWindow="-108" yWindow="-108" windowWidth="23256" windowHeight="12456" activeTab="3" xr2:uid="{CF7956BD-B570-4629-9FA5-564916B6DD43}"/>
  </bookViews>
  <sheets>
    <sheet name="SIMPLIFIER" sheetId="1" r:id="rId1"/>
    <sheet name="REEL" sheetId="2" r:id="rId2"/>
    <sheet name="LIBERATOIRE" sheetId="4" r:id="rId3"/>
    <sheet name="Example of multiple invoic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4" l="1"/>
  <c r="G30" i="4"/>
  <c r="G32" i="4" s="1"/>
  <c r="C36" i="4" s="1"/>
  <c r="E30" i="4"/>
  <c r="F30" i="4" s="1"/>
  <c r="F32" i="4" s="1"/>
  <c r="D31" i="3"/>
  <c r="E30" i="3"/>
  <c r="E31" i="3" s="1"/>
  <c r="D31" i="2"/>
  <c r="G29" i="2"/>
  <c r="H29" i="2" s="1"/>
  <c r="H31" i="2" s="1"/>
  <c r="E29" i="2"/>
  <c r="E31" i="2" s="1"/>
  <c r="C34" i="2" s="1"/>
  <c r="E33" i="1"/>
  <c r="C36" i="1" s="1"/>
  <c r="D33" i="1"/>
  <c r="G32" i="1"/>
  <c r="H32" i="1" s="1"/>
  <c r="H33" i="1" s="1"/>
  <c r="F32" i="1"/>
  <c r="F33" i="1" s="1"/>
  <c r="E32" i="4" l="1"/>
  <c r="C35" i="4" s="1"/>
  <c r="C37" i="4" s="1"/>
  <c r="H30" i="4"/>
  <c r="H32" i="4" s="1"/>
  <c r="F30" i="3"/>
  <c r="H30" i="3"/>
  <c r="F29" i="2"/>
  <c r="F31" i="2" s="1"/>
  <c r="G31" i="2"/>
  <c r="C35" i="2" s="1"/>
  <c r="C36" i="2" s="1"/>
  <c r="G33" i="1"/>
  <c r="C37" i="1" s="1"/>
  <c r="C38" i="1" s="1"/>
  <c r="H31" i="3" l="1"/>
  <c r="C35" i="3" s="1"/>
  <c r="I30" i="3"/>
  <c r="I31" i="3" s="1"/>
  <c r="F31" i="3"/>
  <c r="C34" i="3" s="1"/>
  <c r="C36" i="3" s="1"/>
  <c r="G30" i="3"/>
  <c r="G31" i="3" s="1"/>
</calcChain>
</file>

<file path=xl/sharedStrings.xml><?xml version="1.0" encoding="utf-8"?>
<sst xmlns="http://schemas.openxmlformats.org/spreadsheetml/2006/main" count="196" uniqueCount="82">
  <si>
    <t xml:space="preserve">                 RÉPUBLIQUE DU CAMEROUN</t>
  </si>
  <si>
    <t>REPUBLIC OF CAMEROON</t>
  </si>
  <si>
    <t xml:space="preserve">                           Paix – Travail - Patrie</t>
  </si>
  <si>
    <t>Peace – Work - Fatherland</t>
  </si>
  <si>
    <t xml:space="preserve">                                  --------------------</t>
  </si>
  <si>
    <t>--------------------</t>
  </si>
  <si>
    <t xml:space="preserve">                 PORT AUTONOME DE DOUALA</t>
  </si>
  <si>
    <t>PORT AUTHORITY OF DOUALA</t>
  </si>
  <si>
    <t xml:space="preserve">                                    (P.A.D)</t>
  </si>
  <si>
    <t>(P.A.D)</t>
  </si>
  <si>
    <t xml:space="preserve">                              --------------------</t>
  </si>
  <si>
    <t>------------------------</t>
  </si>
  <si>
    <t xml:space="preserve">        RÉGIE DU TERMINAL À CONTENEURS SA</t>
  </si>
  <si>
    <t>CONTAINER TERMINAL MANAGEMENT PLC</t>
  </si>
  <si>
    <t xml:space="preserve">                               ----------------</t>
  </si>
  <si>
    <t>-----------------</t>
  </si>
  <si>
    <t xml:space="preserve">                     DIRECTION GÉNÉRALE</t>
  </si>
  <si>
    <t>HEAD OFFICE</t>
  </si>
  <si>
    <t xml:space="preserve">                               '--------------</t>
  </si>
  <si>
    <t>--------------</t>
  </si>
  <si>
    <t>DIRECTION DES FINANCES ET DE LA COMPTABILITE</t>
  </si>
  <si>
    <t>DIRECTORATE OF FINANCE AND ACCOUNTING</t>
  </si>
  <si>
    <t>Douala, le 13 AOUT 2025</t>
  </si>
  <si>
    <t>kertysmultiser@gmail.com</t>
  </si>
  <si>
    <t>NIU:P018614182414Z</t>
  </si>
  <si>
    <t>RCCM/RC: DOUALA/2019/A/4474</t>
  </si>
  <si>
    <t>ARS N°______________AC/DCFI/DFIN/DFC/RTC/2025</t>
  </si>
  <si>
    <t>ATTESTATION DE RETENUE A LA SOURCE DE LA TVA ET ACOMPTE IS</t>
  </si>
  <si>
    <t>N°</t>
  </si>
  <si>
    <t>REFERENCES FACTURES</t>
  </si>
  <si>
    <t>MONTANT FACTURE HT</t>
  </si>
  <si>
    <t>TVA 19,25%</t>
  </si>
  <si>
    <t>MONTANT TTC</t>
  </si>
  <si>
    <t>IS 5,5%</t>
  </si>
  <si>
    <t>NET A PAYER</t>
  </si>
  <si>
    <t>01</t>
  </si>
  <si>
    <t>TVA RETENUE      :</t>
  </si>
  <si>
    <t>IS RETENUE           :</t>
  </si>
  <si>
    <t>TOTAL RETENUE :</t>
  </si>
  <si>
    <t xml:space="preserve">  </t>
  </si>
  <si>
    <t>CHEF DE DEPARTMENT COMPTABILITE ET FISCALITE</t>
  </si>
  <si>
    <t>CHEF DU DEPARTEMENT DES FINANCES</t>
  </si>
  <si>
    <t>Innover – Moderniser – Développer | Innovate – Modernize - Develop</t>
  </si>
  <si>
    <t>Régie du Terminal à Conteneurs, Société Anonyme (RTC S.A), Filiale du Port Autonome de Douala. Capital social : FCFA 41 682 880 000</t>
  </si>
  <si>
    <t>N° de contribuable : M121914345304D | RC/DLA/0023/B/1644 | B.P./P.O. Box : 2686 Douala, Bonanjo – Centre des Affaires Maritimes</t>
  </si>
  <si>
    <t>Tél : (+237) 657 105 757 / 233 420 585 | E-mail : rtc@rtcdouala.cm</t>
  </si>
  <si>
    <t xml:space="preserve">                              ------------------</t>
  </si>
  <si>
    <t>CONTAINER TERMINAL  MANAGEMENT PLC</t>
  </si>
  <si>
    <t>DIRECTION GÉNÉRALE</t>
  </si>
  <si>
    <t>------------------</t>
  </si>
  <si>
    <t>---------------------</t>
  </si>
  <si>
    <t>O SAVEUR SARL</t>
  </si>
  <si>
    <t>NIU: M051812702931T</t>
  </si>
  <si>
    <t>RC: RC/DLA/2018/B/1596</t>
  </si>
  <si>
    <t>IS 2.2%</t>
  </si>
  <si>
    <t>FACTURE N°OS/DG/ANJ/AN/015/060825</t>
  </si>
  <si>
    <t>TOTAL</t>
  </si>
  <si>
    <t xml:space="preserve">CHEF DE DEPARTEMENT DES FINANCES </t>
  </si>
  <si>
    <t>Régie du Terminal à Conteneurs (RTC S.A), Filiale du Port Autonome de Douala. Capital social : FCFA 41 682 880 000</t>
  </si>
  <si>
    <t>SYNTRAC-GIE</t>
  </si>
  <si>
    <t>BP 12842 DOUALA</t>
  </si>
  <si>
    <t>TEL: (237) 243 12 87 45</t>
  </si>
  <si>
    <t>NIU: M12191434530040D</t>
  </si>
  <si>
    <t>ARS N°______________AC/DFCI/DFIN/DFC/RTC/2025</t>
  </si>
  <si>
    <t>BASE TVA</t>
  </si>
  <si>
    <t>IS 2,2%</t>
  </si>
  <si>
    <t>FACTURE N° 55/25/SY/AC/R1</t>
  </si>
  <si>
    <t xml:space="preserve">                                              </t>
  </si>
  <si>
    <t>KOUOTOU &amp; CIE</t>
  </si>
  <si>
    <t>Douala, le 25 JUILLET 2025</t>
  </si>
  <si>
    <t>BP: 2525 DOUALA</t>
  </si>
  <si>
    <t>+237 233 42 77 94 / 671 81 96 49</t>
  </si>
  <si>
    <t>NIU: P058412247108E</t>
  </si>
  <si>
    <t xml:space="preserve"> </t>
  </si>
  <si>
    <t>ATTESTATION DE RETENUE A LA SOURCE DE LA TVA - ACOMPTE IS</t>
  </si>
  <si>
    <t>MONTANT HT</t>
  </si>
  <si>
    <t>FACTURE N° 2025/07/041/NKF/K&amp;C°</t>
  </si>
  <si>
    <t>Régie du Terminal à Conteneurs (RTC S.A), Filiale du Port Autonome de Douala. Capital social :  FCFA 41 682 880 000</t>
  </si>
  <si>
    <t xml:space="preserve">+237 694 72 15 35/ 678 56 34 30/ 699 03 95 37 </t>
  </si>
  <si>
    <r>
      <t xml:space="preserve">FACTURE N°002/008/KMS/2025 </t>
    </r>
    <r>
      <rPr>
        <b/>
        <sz val="9"/>
        <color rgb="FFFF0000"/>
        <rFont val="Calibri"/>
        <family val="2"/>
      </rPr>
      <t>(4)</t>
    </r>
  </si>
  <si>
    <r>
      <t>Douala, le 13 AOUT 2025</t>
    </r>
    <r>
      <rPr>
        <sz val="9"/>
        <color rgb="FFFF0000"/>
        <rFont val="Calibri"/>
        <family val="2"/>
      </rPr>
      <t xml:space="preserve"> (1)</t>
    </r>
  </si>
  <si>
    <r>
      <t>ETS KERTYS MULTI SERVICES</t>
    </r>
    <r>
      <rPr>
        <b/>
        <sz val="9"/>
        <color rgb="FFFF0000"/>
        <rFont val="Calibri"/>
        <family val="2"/>
      </rPr>
      <t xml:space="preserve"> 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</si>
</sst>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\ _€_-;\-* #,##0\ _€_-;_-* &quot;-&quot;??\ _€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5B9BD5"/>
      <name val="Calibri"/>
      <family val="2"/>
    </font>
    <font>
      <sz val="9"/>
      <color rgb="FF2F5496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Segaon Soft Medium"/>
      <family val="2"/>
    </font>
    <font>
      <b/>
      <sz val="14"/>
      <color theme="1"/>
      <name val="Segaon Soft Medium"/>
      <family val="2"/>
    </font>
    <font>
      <b/>
      <sz val="9"/>
      <color theme="1"/>
      <name val="Segaon Soft Medium"/>
      <family val="2"/>
    </font>
    <font>
      <b/>
      <sz val="10"/>
      <color theme="1"/>
      <name val="Segaon Soft Medium"/>
      <family val="2"/>
    </font>
    <font>
      <sz val="12"/>
      <color theme="1"/>
      <name val="Segaon Soft Medium"/>
      <family val="2"/>
    </font>
    <font>
      <b/>
      <sz val="11"/>
      <name val="Segaon Soft Medium"/>
      <family val="2"/>
    </font>
    <font>
      <sz val="11"/>
      <color theme="1"/>
      <name val="Segaon Soft Medium"/>
      <family val="2"/>
    </font>
    <font>
      <b/>
      <sz val="11"/>
      <color theme="1"/>
      <name val="Segaon Soft Medium"/>
      <family val="2"/>
    </font>
    <font>
      <sz val="9"/>
      <name val="Arial"/>
      <family val="2"/>
    </font>
    <font>
      <b/>
      <u/>
      <sz val="12"/>
      <color theme="10"/>
      <name val="Segaon Soft Medium"/>
      <family val="2"/>
    </font>
    <font>
      <b/>
      <sz val="8"/>
      <color rgb="FF00B0F0"/>
      <name val="Segaon Soft Medium"/>
      <family val="2"/>
    </font>
    <font>
      <b/>
      <sz val="8"/>
      <color rgb="FF002060"/>
      <name val="Arial"/>
      <family val="2"/>
    </font>
    <font>
      <b/>
      <sz val="9"/>
      <color rgb="FFFF0000"/>
      <name val="Calibri"/>
      <family val="2"/>
    </font>
    <font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/>
    </xf>
    <xf numFmtId="166" fontId="3" fillId="0" borderId="4" xfId="1" applyNumberFormat="1" applyFont="1" applyBorder="1" applyAlignment="1">
      <alignment horizontal="center" vertical="center" wrapText="1"/>
    </xf>
    <xf numFmtId="166" fontId="4" fillId="0" borderId="4" xfId="1" applyNumberFormat="1" applyFont="1" applyBorder="1" applyAlignment="1">
      <alignment vertical="center"/>
    </xf>
    <xf numFmtId="166" fontId="4" fillId="0" borderId="4" xfId="1" applyNumberFormat="1" applyFont="1" applyBorder="1" applyAlignment="1">
      <alignment horizontal="center" vertical="center"/>
    </xf>
    <xf numFmtId="0" fontId="4" fillId="0" borderId="4" xfId="0" applyFont="1" applyBorder="1"/>
    <xf numFmtId="166" fontId="3" fillId="0" borderId="4" xfId="0" applyNumberFormat="1" applyFont="1" applyBorder="1"/>
    <xf numFmtId="0" fontId="3" fillId="0" borderId="0" xfId="0" applyFont="1"/>
    <xf numFmtId="166" fontId="3" fillId="0" borderId="5" xfId="0" applyNumberFormat="1" applyFont="1" applyBorder="1"/>
    <xf numFmtId="166" fontId="3" fillId="3" borderId="5" xfId="0" applyNumberFormat="1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8" fillId="0" borderId="5" xfId="0" quotePrefix="1" applyFont="1" applyBorder="1" applyAlignment="1">
      <alignment horizontal="center" vertical="center"/>
    </xf>
    <xf numFmtId="166" fontId="18" fillId="0" borderId="5" xfId="1" applyNumberFormat="1" applyFont="1" applyBorder="1" applyAlignment="1">
      <alignment horizontal="center" vertical="center" wrapText="1"/>
    </xf>
    <xf numFmtId="166" fontId="18" fillId="0" borderId="5" xfId="1" applyNumberFormat="1" applyFont="1" applyBorder="1" applyAlignment="1">
      <alignment vertical="center"/>
    </xf>
    <xf numFmtId="166" fontId="18" fillId="0" borderId="5" xfId="1" applyNumberFormat="1" applyFont="1" applyBorder="1" applyAlignment="1">
      <alignment horizontal="center" vertical="center"/>
    </xf>
    <xf numFmtId="166" fontId="19" fillId="0" borderId="5" xfId="0" applyNumberFormat="1" applyFont="1" applyBorder="1"/>
    <xf numFmtId="0" fontId="19" fillId="0" borderId="0" xfId="0" applyFont="1" applyAlignment="1">
      <alignment horizontal="center"/>
    </xf>
    <xf numFmtId="0" fontId="19" fillId="0" borderId="0" xfId="0" applyFont="1"/>
    <xf numFmtId="166" fontId="18" fillId="0" borderId="5" xfId="0" applyNumberFormat="1" applyFont="1" applyBorder="1"/>
    <xf numFmtId="166" fontId="19" fillId="3" borderId="5" xfId="0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quotePrefix="1" applyFont="1" applyAlignment="1">
      <alignment vertical="center" wrapText="1"/>
    </xf>
    <xf numFmtId="0" fontId="0" fillId="0" borderId="0" xfId="0" applyAlignment="1">
      <alignment vertical="center"/>
    </xf>
    <xf numFmtId="0" fontId="19" fillId="0" borderId="5" xfId="0" quotePrefix="1" applyFont="1" applyBorder="1" applyAlignment="1">
      <alignment horizontal="center" vertical="center"/>
    </xf>
    <xf numFmtId="164" fontId="18" fillId="0" borderId="5" xfId="2" applyFont="1" applyBorder="1" applyAlignment="1">
      <alignment horizontal="center" vertical="center" wrapText="1"/>
    </xf>
    <xf numFmtId="164" fontId="19" fillId="0" borderId="5" xfId="2" applyFont="1" applyBorder="1" applyAlignment="1">
      <alignment horizontal="center" vertical="center" wrapText="1"/>
    </xf>
    <xf numFmtId="164" fontId="18" fillId="0" borderId="0" xfId="2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3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19" fillId="3" borderId="5" xfId="0" applyFont="1" applyFill="1" applyBorder="1" applyAlignment="1">
      <alignment horizontal="left"/>
    </xf>
    <xf numFmtId="0" fontId="9" fillId="0" borderId="0" xfId="0" quotePrefix="1" applyFont="1" applyAlignment="1">
      <alignment horizontal="left" vertical="center" wrapText="1" indent="8"/>
    </xf>
    <xf numFmtId="0" fontId="9" fillId="0" borderId="0" xfId="0" quotePrefix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7" fillId="0" borderId="0" xfId="3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indent="5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/>
    </xf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944747</xdr:colOff>
      <xdr:row>2</xdr:row>
      <xdr:rowOff>76145</xdr:rowOff>
    </xdr:from>
    <xdr:to>
      <xdr:col>5</xdr:col>
      <xdr:colOff>847725</xdr:colOff>
      <xdr:row>7</xdr:row>
      <xdr:rowOff>562563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96C9C19-8E9A-4EFE-B5CE-D904FB04E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8947" y="571445"/>
          <a:ext cx="2665228" cy="20485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167440</xdr:colOff>
      <xdr:row>2</xdr:row>
      <xdr:rowOff>36930</xdr:rowOff>
    </xdr:from>
    <xdr:to>
      <xdr:col>4</xdr:col>
      <xdr:colOff>938965</xdr:colOff>
      <xdr:row>9</xdr:row>
      <xdr:rowOff>125830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5D41A2B-1ED4-4565-BE2E-9768B013B7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72665" y="417930"/>
          <a:ext cx="2286000" cy="1422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267702</xdr:colOff>
      <xdr:row>1</xdr:row>
      <xdr:rowOff>83051</xdr:rowOff>
    </xdr:from>
    <xdr:to>
      <xdr:col>5</xdr:col>
      <xdr:colOff>68179</xdr:colOff>
      <xdr:row>8</xdr:row>
      <xdr:rowOff>169444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043609F-5624-42E5-ABAB-B86F7637E8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610977" y="273551"/>
          <a:ext cx="2286502" cy="1419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719890</xdr:colOff>
      <xdr:row>2</xdr:row>
      <xdr:rowOff>8355</xdr:rowOff>
    </xdr:from>
    <xdr:to>
      <xdr:col>5</xdr:col>
      <xdr:colOff>215065</xdr:colOff>
      <xdr:row>9</xdr:row>
      <xdr:rowOff>97255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88EA963-D27B-4359-8F95-CA1BE87356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605965" y="389355"/>
          <a:ext cx="2286000" cy="1422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ertysmultiser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eah@europe-afrique-holding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serviceplus.camsarl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E27D-579F-4606-BA21-0A26DEF632F5}">
  <dimension ref="A1:H78"/>
  <sheetViews>
    <sheetView topLeftCell="A10" workbookViewId="0">
      <selection activeCell="B32" sqref="B32:C32"/>
    </sheetView>
  </sheetViews>
  <sheetFormatPr defaultColWidth="11.44140625" defaultRowHeight="14.4"/>
  <cols>
    <col min="2" max="2" width="35.44140625" customWidth="1"/>
    <col min="3" max="3" width="11.44140625" hidden="1" customWidth="1"/>
    <col min="4" max="4" width="20.109375" customWidth="1"/>
    <col min="5" max="5" width="21.33203125" customWidth="1"/>
    <col min="6" max="6" width="17.33203125" customWidth="1"/>
    <col min="7" max="7" width="20.5546875" customWidth="1"/>
    <col min="8" max="8" width="37.33203125" customWidth="1"/>
  </cols>
  <sheetData>
    <row r="1" spans="1:8">
      <c r="A1" s="1"/>
      <c r="B1" s="2"/>
      <c r="C1" s="3"/>
      <c r="D1" s="3"/>
      <c r="E1" s="3"/>
      <c r="F1" s="3"/>
      <c r="G1" s="3"/>
      <c r="H1" s="3"/>
    </row>
    <row r="2" spans="1:8">
      <c r="A2" s="69" t="s">
        <v>0</v>
      </c>
      <c r="B2" s="69"/>
      <c r="C2" s="69"/>
      <c r="D2" s="3"/>
      <c r="E2" s="3"/>
      <c r="F2" s="3"/>
      <c r="G2" s="1"/>
      <c r="H2" s="4" t="s">
        <v>1</v>
      </c>
    </row>
    <row r="3" spans="1:8">
      <c r="A3" s="69" t="s">
        <v>2</v>
      </c>
      <c r="B3" s="69"/>
      <c r="C3" s="69"/>
      <c r="D3" s="3"/>
      <c r="E3" s="3"/>
      <c r="F3" s="3"/>
      <c r="G3" s="5"/>
      <c r="H3" s="4" t="s">
        <v>3</v>
      </c>
    </row>
    <row r="4" spans="1:8">
      <c r="A4" s="69" t="s">
        <v>4</v>
      </c>
      <c r="B4" s="69"/>
      <c r="C4" s="69"/>
      <c r="D4" s="3"/>
      <c r="E4" s="3"/>
      <c r="F4" s="3"/>
      <c r="G4" s="1"/>
      <c r="H4" s="4" t="s">
        <v>5</v>
      </c>
    </row>
    <row r="5" spans="1:8">
      <c r="A5" s="69" t="s">
        <v>6</v>
      </c>
      <c r="B5" s="69"/>
      <c r="C5" s="69"/>
      <c r="D5" s="6"/>
      <c r="E5" s="6"/>
      <c r="F5" s="6"/>
      <c r="G5" s="5"/>
      <c r="H5" s="4" t="s">
        <v>7</v>
      </c>
    </row>
    <row r="6" spans="1:8">
      <c r="A6" s="69" t="s">
        <v>8</v>
      </c>
      <c r="B6" s="69"/>
      <c r="C6" s="69"/>
      <c r="D6" s="6"/>
      <c r="E6" s="6"/>
      <c r="F6" s="6"/>
      <c r="G6" s="1"/>
      <c r="H6" s="4" t="s">
        <v>9</v>
      </c>
    </row>
    <row r="7" spans="1:8">
      <c r="A7" s="69" t="s">
        <v>10</v>
      </c>
      <c r="B7" s="69"/>
      <c r="C7" s="69"/>
      <c r="D7" s="6"/>
      <c r="E7" s="6"/>
      <c r="F7" s="6"/>
      <c r="G7" s="1"/>
      <c r="H7" s="7" t="s">
        <v>11</v>
      </c>
    </row>
    <row r="8" spans="1:8">
      <c r="A8" s="69" t="s">
        <v>12</v>
      </c>
      <c r="B8" s="69"/>
      <c r="C8" s="69"/>
      <c r="D8" s="6"/>
      <c r="E8" s="6"/>
      <c r="F8" s="6"/>
      <c r="G8" s="1"/>
      <c r="H8" s="4" t="s">
        <v>13</v>
      </c>
    </row>
    <row r="9" spans="1:8">
      <c r="A9" s="69" t="s">
        <v>14</v>
      </c>
      <c r="B9" s="69"/>
      <c r="C9" s="69"/>
      <c r="D9" s="6"/>
      <c r="E9" s="6"/>
      <c r="F9" s="6"/>
      <c r="G9" s="1"/>
      <c r="H9" s="4" t="s">
        <v>15</v>
      </c>
    </row>
    <row r="10" spans="1:8">
      <c r="A10" s="70" t="s">
        <v>16</v>
      </c>
      <c r="B10" s="70"/>
      <c r="C10" s="70"/>
      <c r="D10" s="6"/>
      <c r="E10" s="6"/>
      <c r="F10" s="6"/>
      <c r="G10" s="1"/>
      <c r="H10" s="8" t="s">
        <v>17</v>
      </c>
    </row>
    <row r="11" spans="1:8">
      <c r="A11" s="71" t="s">
        <v>18</v>
      </c>
      <c r="B11" s="71"/>
      <c r="C11" s="71"/>
      <c r="D11" s="6"/>
      <c r="E11" s="6"/>
      <c r="F11" s="6"/>
      <c r="G11" s="1"/>
      <c r="H11" s="7" t="s">
        <v>19</v>
      </c>
    </row>
    <row r="12" spans="1:8">
      <c r="A12" s="72" t="s">
        <v>20</v>
      </c>
      <c r="B12" s="72"/>
      <c r="C12" s="72"/>
      <c r="D12" s="6"/>
      <c r="E12" s="6"/>
      <c r="F12" s="6"/>
      <c r="G12" s="1"/>
      <c r="H12" s="9" t="s">
        <v>21</v>
      </c>
    </row>
    <row r="13" spans="1:8">
      <c r="A13" s="10"/>
      <c r="B13" s="10"/>
      <c r="C13" s="10"/>
      <c r="D13" s="6"/>
      <c r="E13" s="6"/>
      <c r="F13" s="6"/>
      <c r="G13" s="1"/>
      <c r="H13" s="4"/>
    </row>
    <row r="14" spans="1:8">
      <c r="A14" s="10"/>
      <c r="B14" s="10"/>
      <c r="C14" s="10"/>
      <c r="D14" s="6"/>
      <c r="E14" s="6"/>
      <c r="F14" s="6"/>
      <c r="G14" s="1"/>
      <c r="H14" s="4"/>
    </row>
    <row r="15" spans="1:8">
      <c r="A15" s="10"/>
      <c r="B15" s="10"/>
      <c r="C15" s="10"/>
      <c r="D15" s="6"/>
      <c r="E15" s="6"/>
      <c r="F15" s="6"/>
      <c r="G15" s="1"/>
      <c r="H15" s="4"/>
    </row>
    <row r="16" spans="1:8">
      <c r="A16" s="10"/>
      <c r="B16" s="10"/>
      <c r="C16" s="10"/>
      <c r="D16" s="6"/>
      <c r="E16" s="6"/>
      <c r="F16" s="6"/>
      <c r="G16" s="68"/>
      <c r="H16" s="68"/>
    </row>
    <row r="17" spans="1:8">
      <c r="A17" s="10"/>
      <c r="B17" s="10"/>
      <c r="C17" s="10"/>
      <c r="D17" s="6"/>
      <c r="E17" s="6"/>
      <c r="F17" s="6"/>
      <c r="G17" s="68" t="s">
        <v>81</v>
      </c>
      <c r="H17" s="68"/>
    </row>
    <row r="18" spans="1:8">
      <c r="A18" s="73" t="s">
        <v>80</v>
      </c>
      <c r="B18" s="73"/>
      <c r="C18" s="73"/>
      <c r="D18" s="6"/>
      <c r="E18" s="6"/>
      <c r="F18" s="6"/>
      <c r="G18" s="74" t="s">
        <v>23</v>
      </c>
      <c r="H18" s="68"/>
    </row>
    <row r="19" spans="1:8">
      <c r="A19" s="10"/>
      <c r="B19" s="10"/>
      <c r="C19" s="10"/>
      <c r="D19" s="6"/>
      <c r="E19" s="6"/>
      <c r="F19" s="6"/>
      <c r="G19" s="75" t="s">
        <v>78</v>
      </c>
      <c r="H19" s="68"/>
    </row>
    <row r="20" spans="1:8">
      <c r="A20" s="3"/>
      <c r="B20" s="2"/>
      <c r="C20" s="3"/>
      <c r="D20" s="3"/>
      <c r="E20" s="3"/>
      <c r="F20" s="3"/>
      <c r="G20" s="68" t="s">
        <v>24</v>
      </c>
      <c r="H20" s="68"/>
    </row>
    <row r="21" spans="1:8">
      <c r="A21" s="3"/>
      <c r="B21" s="2"/>
      <c r="C21" s="3"/>
      <c r="D21" s="3"/>
      <c r="E21" s="3"/>
      <c r="F21" s="3"/>
      <c r="G21" s="68" t="s">
        <v>25</v>
      </c>
      <c r="H21" s="68"/>
    </row>
    <row r="22" spans="1:8">
      <c r="A22" s="3" t="s">
        <v>26</v>
      </c>
      <c r="B22" s="2"/>
      <c r="C22" s="3"/>
      <c r="D22" s="3"/>
      <c r="E22" s="3"/>
      <c r="F22" s="3"/>
      <c r="G22" s="3"/>
      <c r="H22" s="3"/>
    </row>
    <row r="23" spans="1:8">
      <c r="A23" s="3"/>
      <c r="B23" s="2"/>
      <c r="C23" s="3"/>
      <c r="D23" s="3"/>
      <c r="E23" s="3"/>
      <c r="F23" s="3"/>
      <c r="G23" s="3"/>
      <c r="H23" s="3"/>
    </row>
    <row r="24" spans="1:8">
      <c r="A24" s="3"/>
      <c r="B24" s="2"/>
      <c r="C24" s="3"/>
      <c r="D24" s="3"/>
      <c r="E24" s="3"/>
      <c r="F24" s="3"/>
      <c r="G24" s="3"/>
      <c r="H24" s="3"/>
    </row>
    <row r="25" spans="1:8">
      <c r="A25" s="3"/>
      <c r="B25" s="2"/>
      <c r="C25" s="3"/>
      <c r="D25" s="3"/>
      <c r="E25" s="3"/>
      <c r="F25" s="3"/>
      <c r="G25" s="3"/>
      <c r="H25" s="3"/>
    </row>
    <row r="26" spans="1:8">
      <c r="A26" s="3"/>
      <c r="B26" s="2"/>
      <c r="C26" s="3"/>
      <c r="D26" s="3"/>
      <c r="E26" s="3"/>
      <c r="F26" s="3"/>
      <c r="G26" s="3"/>
      <c r="H26" s="3"/>
    </row>
    <row r="27" spans="1:8">
      <c r="A27" s="3"/>
      <c r="B27" s="2"/>
      <c r="C27" s="3"/>
      <c r="D27" s="3"/>
      <c r="E27" s="3"/>
      <c r="F27" s="3"/>
      <c r="G27" s="3"/>
      <c r="H27" s="3"/>
    </row>
    <row r="28" spans="1:8" ht="15" thickBot="1">
      <c r="A28" s="3"/>
      <c r="B28" s="2"/>
      <c r="C28" s="3"/>
      <c r="D28" s="3"/>
      <c r="E28" s="3"/>
      <c r="F28" s="3"/>
      <c r="G28" s="3"/>
      <c r="H28" s="3"/>
    </row>
    <row r="29" spans="1:8" ht="15" thickBot="1">
      <c r="A29" s="58" t="s">
        <v>27</v>
      </c>
      <c r="B29" s="59"/>
      <c r="C29" s="59"/>
      <c r="D29" s="59"/>
      <c r="E29" s="59"/>
      <c r="F29" s="59"/>
      <c r="G29" s="59"/>
      <c r="H29" s="60"/>
    </row>
    <row r="30" spans="1:8" ht="15" thickBot="1">
      <c r="A30" s="3"/>
      <c r="B30" s="2"/>
      <c r="C30" s="3"/>
      <c r="D30" s="3"/>
      <c r="E30" s="3"/>
      <c r="F30" s="3"/>
      <c r="G30" s="3"/>
      <c r="H30" s="3"/>
    </row>
    <row r="31" spans="1:8" ht="15" thickBot="1">
      <c r="A31" s="11" t="s">
        <v>28</v>
      </c>
      <c r="B31" s="61" t="s">
        <v>29</v>
      </c>
      <c r="C31" s="61"/>
      <c r="D31" s="13" t="s">
        <v>30</v>
      </c>
      <c r="E31" s="12" t="s">
        <v>31</v>
      </c>
      <c r="F31" s="12" t="s">
        <v>32</v>
      </c>
      <c r="G31" s="12" t="s">
        <v>33</v>
      </c>
      <c r="H31" s="12" t="s">
        <v>34</v>
      </c>
    </row>
    <row r="32" spans="1:8" ht="15" thickBot="1">
      <c r="A32" s="14" t="s">
        <v>35</v>
      </c>
      <c r="B32" s="62" t="s">
        <v>79</v>
      </c>
      <c r="C32" s="62"/>
      <c r="D32" s="15">
        <v>19081200</v>
      </c>
      <c r="E32" s="16">
        <v>0</v>
      </c>
      <c r="F32" s="16">
        <f>+D32+E32</f>
        <v>19081200</v>
      </c>
      <c r="G32" s="16">
        <f>D32*5.5%</f>
        <v>1049466</v>
      </c>
      <c r="H32" s="17">
        <f>+D32-G32</f>
        <v>18031734</v>
      </c>
    </row>
    <row r="33" spans="1:8" ht="15" thickBot="1">
      <c r="A33" s="18"/>
      <c r="B33" s="63"/>
      <c r="C33" s="63"/>
      <c r="D33" s="19">
        <f>SUM(D32:D32)</f>
        <v>19081200</v>
      </c>
      <c r="E33" s="19">
        <f>SUM(E32:E32)</f>
        <v>0</v>
      </c>
      <c r="F33" s="19">
        <f>SUM(F32:F32)</f>
        <v>19081200</v>
      </c>
      <c r="G33" s="19">
        <f>SUM(G32:G32)</f>
        <v>1049466</v>
      </c>
      <c r="H33" s="19">
        <f>SUM(H32:H32)</f>
        <v>18031734</v>
      </c>
    </row>
    <row r="34" spans="1:8">
      <c r="A34" s="3"/>
      <c r="B34" s="6"/>
      <c r="C34" s="6"/>
      <c r="D34" s="3"/>
      <c r="E34" s="3"/>
      <c r="F34" s="3"/>
      <c r="G34" s="3"/>
      <c r="H34" s="3"/>
    </row>
    <row r="35" spans="1:8">
      <c r="A35" s="3"/>
      <c r="B35" s="20"/>
      <c r="C35" s="20"/>
      <c r="D35" s="3"/>
      <c r="E35" s="3"/>
      <c r="F35" s="3"/>
      <c r="G35" s="3"/>
      <c r="H35" s="3"/>
    </row>
    <row r="36" spans="1:8">
      <c r="A36" s="64" t="s">
        <v>36</v>
      </c>
      <c r="B36" s="64"/>
      <c r="C36" s="21">
        <f>+E33</f>
        <v>0</v>
      </c>
      <c r="D36" s="3"/>
      <c r="E36" s="3"/>
      <c r="F36" s="3"/>
      <c r="G36" s="3"/>
      <c r="H36" s="3"/>
    </row>
    <row r="37" spans="1:8">
      <c r="A37" s="64" t="s">
        <v>37</v>
      </c>
      <c r="B37" s="64"/>
      <c r="C37" s="21">
        <f>+G33</f>
        <v>1049466</v>
      </c>
      <c r="D37" s="3"/>
      <c r="E37" s="3"/>
      <c r="F37" s="3"/>
      <c r="G37" s="3"/>
      <c r="H37" s="3"/>
    </row>
    <row r="38" spans="1:8">
      <c r="A38" s="65" t="s">
        <v>38</v>
      </c>
      <c r="B38" s="65"/>
      <c r="C38" s="22">
        <f>+C36+C37</f>
        <v>1049466</v>
      </c>
      <c r="D38" s="3"/>
      <c r="E38" s="3"/>
      <c r="F38" s="3"/>
      <c r="G38" s="3"/>
      <c r="H38" s="3" t="s">
        <v>39</v>
      </c>
    </row>
    <row r="39" spans="1:8">
      <c r="A39" s="3"/>
      <c r="B39" s="6"/>
      <c r="C39" s="6"/>
      <c r="D39" s="3"/>
      <c r="E39" s="3"/>
      <c r="F39" s="3"/>
      <c r="G39" s="3"/>
      <c r="H39" s="3"/>
    </row>
    <row r="40" spans="1:8">
      <c r="A40" s="3"/>
      <c r="B40" s="6"/>
      <c r="C40" s="6"/>
      <c r="D40" s="3"/>
      <c r="E40" s="3"/>
      <c r="F40" s="3"/>
      <c r="G40" s="3"/>
      <c r="H40" s="3"/>
    </row>
    <row r="41" spans="1:8">
      <c r="A41" s="3"/>
      <c r="B41" s="6"/>
      <c r="C41" s="6"/>
      <c r="D41" s="3"/>
      <c r="E41" s="3"/>
      <c r="F41" s="3"/>
      <c r="G41" s="3"/>
      <c r="H41" s="3"/>
    </row>
    <row r="42" spans="1:8">
      <c r="A42" s="3"/>
      <c r="B42" s="20"/>
      <c r="C42" s="20"/>
      <c r="D42" s="3"/>
      <c r="E42" s="3"/>
      <c r="F42" s="3"/>
      <c r="G42" s="3"/>
      <c r="H42" s="3"/>
    </row>
    <row r="43" spans="1:8">
      <c r="A43" s="3"/>
      <c r="B43" s="20" t="s">
        <v>40</v>
      </c>
      <c r="C43" s="3"/>
      <c r="D43" s="3"/>
      <c r="E43" s="3"/>
      <c r="F43" s="3"/>
      <c r="G43" s="66" t="s">
        <v>41</v>
      </c>
      <c r="H43" s="66"/>
    </row>
    <row r="44" spans="1:8">
      <c r="A44" s="3"/>
      <c r="B44" s="2"/>
      <c r="C44" s="3"/>
      <c r="D44" s="3"/>
      <c r="E44" s="3"/>
      <c r="F44" s="3"/>
      <c r="G44" s="6"/>
      <c r="H44" s="6"/>
    </row>
    <row r="45" spans="1:8">
      <c r="A45" s="3"/>
      <c r="B45" s="2"/>
      <c r="C45" s="3"/>
      <c r="D45" s="3"/>
      <c r="E45" s="3"/>
      <c r="F45" s="3"/>
      <c r="G45" s="6"/>
      <c r="H45" s="6"/>
    </row>
    <row r="46" spans="1:8">
      <c r="A46" s="3"/>
      <c r="B46" s="2"/>
      <c r="C46" s="3"/>
      <c r="D46" s="3"/>
      <c r="E46" s="3"/>
      <c r="F46" s="3"/>
      <c r="G46" s="6"/>
      <c r="H46" s="6"/>
    </row>
    <row r="47" spans="1:8">
      <c r="A47" s="3"/>
      <c r="B47" s="2"/>
      <c r="C47" s="3"/>
      <c r="D47" s="3"/>
      <c r="E47" s="3"/>
      <c r="F47" s="3"/>
      <c r="G47" s="6"/>
      <c r="H47" s="6"/>
    </row>
    <row r="48" spans="1:8">
      <c r="A48" s="3"/>
      <c r="B48" s="2"/>
      <c r="C48" s="3"/>
      <c r="D48" s="3"/>
      <c r="E48" s="3"/>
      <c r="F48" s="3"/>
      <c r="G48" s="6"/>
      <c r="H48" s="6"/>
    </row>
    <row r="49" spans="1:8">
      <c r="A49" s="3"/>
      <c r="B49" s="2"/>
      <c r="C49" s="3"/>
      <c r="D49" s="3"/>
      <c r="E49" s="3"/>
      <c r="F49" s="3"/>
      <c r="G49" s="6"/>
      <c r="H49" s="6"/>
    </row>
    <row r="50" spans="1:8">
      <c r="A50" s="3"/>
      <c r="B50" s="2"/>
      <c r="C50" s="3"/>
      <c r="D50" s="3"/>
      <c r="E50" s="3"/>
      <c r="F50" s="3"/>
      <c r="G50" s="6"/>
      <c r="H50" s="6"/>
    </row>
    <row r="51" spans="1:8">
      <c r="A51" s="3"/>
      <c r="B51" s="2"/>
      <c r="C51" s="3"/>
      <c r="D51" s="3"/>
      <c r="E51" s="3"/>
      <c r="F51" s="3"/>
      <c r="G51" s="6"/>
      <c r="H51" s="6"/>
    </row>
    <row r="52" spans="1:8">
      <c r="A52" s="3"/>
      <c r="B52" s="2"/>
      <c r="C52" s="3"/>
      <c r="D52" s="3"/>
      <c r="E52" s="3"/>
      <c r="F52" s="3"/>
      <c r="G52" s="6"/>
      <c r="H52" s="6"/>
    </row>
    <row r="53" spans="1:8">
      <c r="A53" s="3"/>
      <c r="B53" s="2"/>
      <c r="C53" s="3"/>
      <c r="D53" s="3"/>
      <c r="E53" s="3"/>
      <c r="F53" s="3"/>
      <c r="G53" s="6"/>
      <c r="H53" s="6"/>
    </row>
    <row r="54" spans="1:8">
      <c r="A54" s="3"/>
      <c r="B54" s="2"/>
      <c r="C54" s="3"/>
      <c r="D54" s="3"/>
      <c r="E54" s="3"/>
      <c r="F54" s="3"/>
      <c r="G54" s="6"/>
      <c r="H54" s="6"/>
    </row>
    <row r="55" spans="1:8">
      <c r="A55" s="3"/>
      <c r="B55" s="2"/>
      <c r="C55" s="3"/>
      <c r="D55" s="3"/>
      <c r="E55" s="3"/>
      <c r="F55" s="3"/>
      <c r="G55" s="6"/>
      <c r="H55" s="6"/>
    </row>
    <row r="56" spans="1:8">
      <c r="A56" s="3"/>
      <c r="B56" s="2"/>
      <c r="C56" s="3"/>
      <c r="D56" s="3"/>
      <c r="E56" s="3"/>
      <c r="F56" s="3"/>
      <c r="G56" s="6"/>
      <c r="H56" s="6"/>
    </row>
    <row r="57" spans="1:8">
      <c r="A57" s="3"/>
      <c r="B57" s="2"/>
      <c r="C57" s="3"/>
      <c r="D57" s="3"/>
      <c r="E57" s="3"/>
      <c r="F57" s="3"/>
      <c r="G57" s="6"/>
      <c r="H57" s="6"/>
    </row>
    <row r="58" spans="1:8">
      <c r="A58" s="3"/>
      <c r="B58" s="2"/>
      <c r="C58" s="3"/>
      <c r="D58" s="3"/>
      <c r="E58" s="3"/>
      <c r="F58" s="3"/>
      <c r="G58" s="6"/>
      <c r="H58" s="6"/>
    </row>
    <row r="59" spans="1:8">
      <c r="A59" s="3"/>
      <c r="B59" s="2"/>
      <c r="C59" s="3"/>
      <c r="D59" s="3"/>
      <c r="E59" s="3"/>
      <c r="F59" s="3"/>
      <c r="G59" s="6"/>
      <c r="H59" s="6"/>
    </row>
    <row r="60" spans="1:8">
      <c r="A60" s="3"/>
      <c r="B60" s="2"/>
      <c r="C60" s="3"/>
      <c r="D60" s="3"/>
      <c r="E60" s="3"/>
      <c r="F60" s="3"/>
      <c r="G60" s="6"/>
      <c r="H60" s="6"/>
    </row>
    <row r="61" spans="1:8">
      <c r="A61" s="3"/>
      <c r="B61" s="2"/>
      <c r="C61" s="3"/>
      <c r="D61" s="3"/>
      <c r="E61" s="3"/>
      <c r="F61" s="3"/>
      <c r="G61" s="6"/>
      <c r="H61" s="6"/>
    </row>
    <row r="62" spans="1:8">
      <c r="A62" s="3"/>
      <c r="B62" s="2"/>
      <c r="C62" s="3"/>
      <c r="D62" s="3"/>
      <c r="E62" s="3"/>
      <c r="F62" s="3"/>
      <c r="G62" s="6"/>
      <c r="H62" s="6"/>
    </row>
    <row r="63" spans="1:8">
      <c r="A63" s="3"/>
      <c r="B63" s="2"/>
      <c r="C63" s="3"/>
      <c r="D63" s="3"/>
      <c r="E63" s="3"/>
      <c r="F63" s="3"/>
      <c r="G63" s="6"/>
      <c r="H63" s="6"/>
    </row>
    <row r="64" spans="1:8">
      <c r="A64" s="3"/>
      <c r="B64" s="2"/>
      <c r="C64" s="3"/>
      <c r="D64" s="3"/>
      <c r="E64" s="3"/>
      <c r="F64" s="3"/>
      <c r="G64" s="6"/>
      <c r="H64" s="6"/>
    </row>
    <row r="65" spans="1:8">
      <c r="A65" s="3"/>
      <c r="B65" s="2"/>
      <c r="C65" s="3"/>
      <c r="D65" s="3"/>
      <c r="E65" s="3"/>
      <c r="F65" s="3"/>
      <c r="G65" s="6"/>
      <c r="H65" s="6"/>
    </row>
    <row r="66" spans="1:8">
      <c r="A66" s="3"/>
      <c r="B66" s="2"/>
      <c r="C66" s="3"/>
      <c r="D66" s="3"/>
      <c r="E66" s="3"/>
      <c r="F66" s="3"/>
      <c r="G66" s="6"/>
      <c r="H66" s="6"/>
    </row>
    <row r="67" spans="1:8">
      <c r="A67" s="3"/>
      <c r="B67" s="2"/>
      <c r="C67" s="3"/>
      <c r="D67" s="3"/>
      <c r="E67" s="3"/>
      <c r="F67" s="3"/>
      <c r="G67" s="6"/>
      <c r="H67" s="6"/>
    </row>
    <row r="68" spans="1:8">
      <c r="A68" s="3"/>
      <c r="B68" s="2"/>
      <c r="C68" s="3"/>
      <c r="D68" s="3"/>
      <c r="E68" s="3"/>
      <c r="F68" s="3"/>
      <c r="G68" s="6"/>
      <c r="H68" s="6"/>
    </row>
    <row r="69" spans="1:8">
      <c r="A69" s="3"/>
      <c r="B69" s="2"/>
      <c r="C69" s="3"/>
      <c r="D69" s="3"/>
      <c r="E69" s="3"/>
      <c r="F69" s="3"/>
      <c r="G69" s="6"/>
      <c r="H69" s="6"/>
    </row>
    <row r="70" spans="1:8">
      <c r="A70" s="3"/>
      <c r="B70" s="2"/>
      <c r="C70" s="3"/>
      <c r="D70" s="3"/>
      <c r="E70" s="3"/>
      <c r="F70" s="3"/>
      <c r="G70" s="6"/>
      <c r="H70" s="6"/>
    </row>
    <row r="71" spans="1:8">
      <c r="A71" s="3"/>
      <c r="B71" s="2"/>
      <c r="C71" s="3"/>
      <c r="D71" s="3"/>
      <c r="E71" s="3"/>
      <c r="F71" s="3"/>
      <c r="G71" s="6"/>
      <c r="H71" s="6"/>
    </row>
    <row r="72" spans="1:8">
      <c r="A72" s="3"/>
      <c r="B72" s="2"/>
      <c r="C72" s="3"/>
      <c r="D72" s="3"/>
      <c r="E72" s="3"/>
      <c r="F72" s="3"/>
      <c r="G72" s="3"/>
      <c r="H72" s="3"/>
    </row>
    <row r="73" spans="1:8">
      <c r="A73" s="3"/>
      <c r="B73" s="2"/>
      <c r="C73" s="3"/>
      <c r="D73" s="3"/>
      <c r="E73" s="3"/>
      <c r="F73" s="3"/>
      <c r="G73" s="3"/>
      <c r="H73" s="3"/>
    </row>
    <row r="74" spans="1:8">
      <c r="A74" s="3"/>
      <c r="B74" s="2"/>
      <c r="C74" s="3"/>
      <c r="D74" s="3"/>
      <c r="E74" s="3"/>
      <c r="F74" s="3"/>
      <c r="G74" s="3"/>
      <c r="H74" s="3"/>
    </row>
    <row r="75" spans="1:8">
      <c r="A75" s="67" t="s">
        <v>42</v>
      </c>
      <c r="B75" s="67"/>
      <c r="C75" s="67"/>
      <c r="D75" s="67"/>
      <c r="E75" s="67"/>
      <c r="F75" s="67"/>
      <c r="G75" s="67"/>
      <c r="H75" s="67"/>
    </row>
    <row r="76" spans="1:8">
      <c r="A76" s="57" t="s">
        <v>43</v>
      </c>
      <c r="B76" s="57"/>
      <c r="C76" s="57"/>
      <c r="D76" s="57"/>
      <c r="E76" s="57"/>
      <c r="F76" s="57"/>
      <c r="G76" s="57"/>
      <c r="H76" s="57"/>
    </row>
    <row r="77" spans="1:8">
      <c r="A77" s="57" t="s">
        <v>44</v>
      </c>
      <c r="B77" s="57"/>
      <c r="C77" s="57"/>
      <c r="D77" s="57"/>
      <c r="E77" s="57"/>
      <c r="F77" s="57"/>
      <c r="G77" s="57"/>
      <c r="H77" s="57"/>
    </row>
    <row r="78" spans="1:8">
      <c r="A78" s="57" t="s">
        <v>45</v>
      </c>
      <c r="B78" s="57"/>
      <c r="C78" s="57"/>
      <c r="D78" s="57"/>
      <c r="E78" s="57"/>
      <c r="F78" s="57"/>
      <c r="G78" s="57"/>
      <c r="H78" s="57"/>
    </row>
  </sheetData>
  <mergeCells count="30">
    <mergeCell ref="A7:C7"/>
    <mergeCell ref="A2:C2"/>
    <mergeCell ref="A3:C3"/>
    <mergeCell ref="A4:C4"/>
    <mergeCell ref="A5:C5"/>
    <mergeCell ref="A6:C6"/>
    <mergeCell ref="G21:H21"/>
    <mergeCell ref="A8:C8"/>
    <mergeCell ref="A9:C9"/>
    <mergeCell ref="A10:C10"/>
    <mergeCell ref="A11:C11"/>
    <mergeCell ref="A12:C12"/>
    <mergeCell ref="G16:H16"/>
    <mergeCell ref="G17:H17"/>
    <mergeCell ref="A18:C18"/>
    <mergeCell ref="G18:H18"/>
    <mergeCell ref="G19:H19"/>
    <mergeCell ref="G20:H20"/>
    <mergeCell ref="A78:H78"/>
    <mergeCell ref="A29:H29"/>
    <mergeCell ref="B31:C31"/>
    <mergeCell ref="B32:C32"/>
    <mergeCell ref="B33:C33"/>
    <mergeCell ref="A36:B36"/>
    <mergeCell ref="A37:B37"/>
    <mergeCell ref="A38:B38"/>
    <mergeCell ref="G43:H43"/>
    <mergeCell ref="A75:H75"/>
    <mergeCell ref="A76:H76"/>
    <mergeCell ref="A77:H77"/>
  </mergeCells>
  <hyperlinks>
    <hyperlink ref="G18" r:id="rId1" xr:uid="{5AC5CC63-FC3B-45C5-B9CD-4AD17B3CB8EF}"/>
  </hyperlinks>
  <pageMargins left="0.7" right="0.7" top="0.75" bottom="0.75" header="0.3" footer="0.3"/>
  <pageSetup orientation="portrait" horizontalDpi="4294967293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4D23-EC7C-4093-B184-BD01BA04AE03}">
  <dimension ref="A1:H71"/>
  <sheetViews>
    <sheetView topLeftCell="A11" workbookViewId="0">
      <selection activeCell="D29" sqref="D29"/>
    </sheetView>
  </sheetViews>
  <sheetFormatPr defaultColWidth="11.44140625" defaultRowHeight="14.4"/>
  <cols>
    <col min="2" max="2" width="20.33203125" customWidth="1"/>
    <col min="4" max="4" width="22.6640625" customWidth="1"/>
    <col min="5" max="5" width="25.6640625" customWidth="1"/>
    <col min="6" max="6" width="26.5546875" customWidth="1"/>
    <col min="7" max="7" width="24.33203125" customWidth="1"/>
    <col min="8" max="8" width="25.33203125" customWidth="1"/>
  </cols>
  <sheetData>
    <row r="1" spans="1:8">
      <c r="A1" s="23"/>
      <c r="B1" s="24"/>
    </row>
    <row r="2" spans="1:8">
      <c r="A2" s="96" t="s">
        <v>0</v>
      </c>
      <c r="B2" s="96"/>
      <c r="C2" s="96"/>
      <c r="G2" s="97" t="s">
        <v>1</v>
      </c>
      <c r="H2" s="97"/>
    </row>
    <row r="3" spans="1:8">
      <c r="A3" s="92" t="s">
        <v>2</v>
      </c>
      <c r="B3" s="92"/>
      <c r="C3" s="92"/>
      <c r="G3" s="93" t="s">
        <v>3</v>
      </c>
      <c r="H3" s="93"/>
    </row>
    <row r="4" spans="1:8">
      <c r="A4" s="98" t="s">
        <v>4</v>
      </c>
      <c r="B4" s="98"/>
      <c r="C4" s="98"/>
      <c r="G4" s="93" t="s">
        <v>5</v>
      </c>
      <c r="H4" s="93"/>
    </row>
    <row r="5" spans="1:8" ht="18">
      <c r="A5" s="92" t="s">
        <v>6</v>
      </c>
      <c r="B5" s="92"/>
      <c r="C5" s="92"/>
      <c r="D5" s="26"/>
      <c r="E5" s="26"/>
      <c r="F5" s="26"/>
      <c r="G5" s="93" t="s">
        <v>7</v>
      </c>
      <c r="H5" s="93"/>
    </row>
    <row r="6" spans="1:8" ht="18">
      <c r="A6" s="92" t="s">
        <v>8</v>
      </c>
      <c r="B6" s="92"/>
      <c r="C6" s="92"/>
      <c r="D6" s="26"/>
      <c r="E6" s="26"/>
      <c r="F6" s="26"/>
      <c r="G6" s="93" t="s">
        <v>9</v>
      </c>
      <c r="H6" s="93"/>
    </row>
    <row r="7" spans="1:8" ht="18">
      <c r="A7" s="94" t="s">
        <v>46</v>
      </c>
      <c r="B7" s="94"/>
      <c r="C7" s="94"/>
      <c r="D7" s="26"/>
      <c r="E7" s="26"/>
      <c r="F7" s="26"/>
      <c r="G7" s="93" t="s">
        <v>15</v>
      </c>
      <c r="H7" s="93"/>
    </row>
    <row r="8" spans="1:8" ht="18">
      <c r="A8" s="92" t="s">
        <v>12</v>
      </c>
      <c r="B8" s="92"/>
      <c r="C8" s="92"/>
      <c r="D8" s="26"/>
      <c r="E8" s="26"/>
      <c r="F8" s="26"/>
      <c r="G8" s="93" t="s">
        <v>47</v>
      </c>
      <c r="H8" s="93"/>
    </row>
    <row r="9" spans="1:8" ht="18">
      <c r="A9" s="94" t="s">
        <v>14</v>
      </c>
      <c r="B9" s="94"/>
      <c r="C9" s="94"/>
      <c r="D9" s="26"/>
      <c r="E9" s="26"/>
      <c r="F9" s="26"/>
      <c r="G9" s="93" t="s">
        <v>15</v>
      </c>
      <c r="H9" s="93"/>
    </row>
    <row r="10" spans="1:8" ht="18">
      <c r="A10" s="95" t="s">
        <v>48</v>
      </c>
      <c r="B10" s="95"/>
      <c r="C10" s="95"/>
      <c r="D10" s="26"/>
      <c r="E10" s="26"/>
      <c r="F10" s="26"/>
      <c r="G10" s="77" t="s">
        <v>17</v>
      </c>
      <c r="H10" s="77"/>
    </row>
    <row r="11" spans="1:8" ht="18">
      <c r="A11" s="87" t="s">
        <v>49</v>
      </c>
      <c r="B11" s="87"/>
      <c r="C11" s="87"/>
      <c r="D11" s="26"/>
      <c r="E11" s="26"/>
      <c r="F11" s="26"/>
      <c r="G11" s="88" t="s">
        <v>50</v>
      </c>
      <c r="H11" s="88"/>
    </row>
    <row r="12" spans="1:8" ht="18">
      <c r="A12" s="27" t="s">
        <v>20</v>
      </c>
      <c r="B12" s="27"/>
      <c r="C12" s="27"/>
      <c r="D12" s="26"/>
      <c r="E12" s="26"/>
      <c r="F12" s="26"/>
      <c r="G12" s="89" t="s">
        <v>21</v>
      </c>
      <c r="H12" s="89"/>
    </row>
    <row r="13" spans="1:8" ht="17.399999999999999">
      <c r="A13" s="28"/>
      <c r="B13" s="28"/>
      <c r="C13" s="28"/>
      <c r="D13" s="29"/>
      <c r="E13" s="29"/>
      <c r="F13" s="29"/>
      <c r="G13" s="30"/>
      <c r="H13" s="31"/>
    </row>
    <row r="14" spans="1:8" ht="17.399999999999999">
      <c r="A14" s="28"/>
      <c r="B14" s="28"/>
      <c r="C14" s="28"/>
      <c r="D14" s="29"/>
      <c r="E14" s="29"/>
      <c r="F14" s="29"/>
      <c r="G14" s="30"/>
      <c r="H14" s="30"/>
    </row>
    <row r="15" spans="1:8" ht="17.399999999999999">
      <c r="A15" s="28"/>
      <c r="B15" s="28"/>
      <c r="C15" s="28"/>
      <c r="D15" s="29"/>
      <c r="E15" s="29"/>
      <c r="F15" s="29"/>
      <c r="G15" s="78" t="s">
        <v>51</v>
      </c>
      <c r="H15" s="78"/>
    </row>
    <row r="16" spans="1:8" ht="17.399999999999999">
      <c r="A16" s="90" t="s">
        <v>22</v>
      </c>
      <c r="B16" s="90"/>
      <c r="C16" s="90"/>
      <c r="D16" s="29"/>
      <c r="E16" s="29"/>
      <c r="F16" s="29"/>
      <c r="G16" s="91">
        <v>699723793</v>
      </c>
      <c r="H16" s="78"/>
    </row>
    <row r="17" spans="1:8">
      <c r="A17" s="33"/>
      <c r="B17" s="34"/>
      <c r="C17" s="33"/>
      <c r="D17" s="33"/>
      <c r="E17" s="33"/>
      <c r="F17" s="33"/>
      <c r="G17" s="78" t="s">
        <v>52</v>
      </c>
      <c r="H17" s="78"/>
    </row>
    <row r="18" spans="1:8">
      <c r="A18" s="33"/>
      <c r="B18" s="34"/>
      <c r="C18" s="33"/>
      <c r="D18" s="33"/>
      <c r="E18" s="33"/>
      <c r="F18" s="33"/>
      <c r="G18" s="78" t="s">
        <v>53</v>
      </c>
      <c r="H18" s="78"/>
    </row>
    <row r="19" spans="1:8">
      <c r="A19" s="33" t="s">
        <v>26</v>
      </c>
      <c r="B19" s="34"/>
      <c r="C19" s="33"/>
      <c r="D19" s="33"/>
      <c r="E19" s="33"/>
      <c r="F19" s="33"/>
      <c r="G19" s="108"/>
      <c r="H19" s="108"/>
    </row>
    <row r="20" spans="1:8">
      <c r="A20" s="33"/>
      <c r="B20" s="34"/>
      <c r="C20" s="33"/>
      <c r="D20" s="33"/>
      <c r="E20" s="33"/>
      <c r="F20" s="33"/>
      <c r="G20" s="33"/>
      <c r="H20" s="33"/>
    </row>
    <row r="21" spans="1:8">
      <c r="A21" s="33"/>
      <c r="B21" s="34"/>
      <c r="C21" s="33"/>
      <c r="D21" s="33"/>
      <c r="E21" s="33"/>
      <c r="F21" s="33"/>
      <c r="G21" s="33"/>
      <c r="H21" s="33"/>
    </row>
    <row r="22" spans="1:8">
      <c r="A22" s="33"/>
      <c r="B22" s="34"/>
      <c r="C22" s="33"/>
      <c r="D22" s="33"/>
      <c r="E22" s="33"/>
      <c r="F22" s="33"/>
      <c r="G22" s="33"/>
      <c r="H22" s="33"/>
    </row>
    <row r="23" spans="1:8">
      <c r="A23" s="33"/>
      <c r="B23" s="34"/>
      <c r="C23" s="33"/>
      <c r="D23" s="33"/>
      <c r="E23" s="33"/>
      <c r="F23" s="33"/>
      <c r="G23" s="33"/>
      <c r="H23" s="33"/>
    </row>
    <row r="24" spans="1:8">
      <c r="A24" s="33"/>
      <c r="B24" s="34"/>
      <c r="C24" s="33"/>
      <c r="D24" s="33"/>
      <c r="E24" s="33"/>
      <c r="F24" s="33"/>
      <c r="G24" s="33"/>
      <c r="H24" s="33"/>
    </row>
    <row r="25" spans="1:8" ht="15" thickBot="1">
      <c r="A25" s="33"/>
      <c r="B25" s="34"/>
      <c r="C25" s="33"/>
      <c r="D25" s="33"/>
      <c r="E25" s="33"/>
      <c r="F25" s="33"/>
      <c r="G25" s="33"/>
      <c r="H25" s="33"/>
    </row>
    <row r="26" spans="1:8" ht="18" thickBot="1">
      <c r="A26" s="79" t="s">
        <v>27</v>
      </c>
      <c r="B26" s="80"/>
      <c r="C26" s="80"/>
      <c r="D26" s="80"/>
      <c r="E26" s="80"/>
      <c r="F26" s="80"/>
      <c r="G26" s="80"/>
      <c r="H26" s="81"/>
    </row>
    <row r="27" spans="1:8">
      <c r="A27" s="33"/>
      <c r="B27" s="34"/>
      <c r="C27" s="33"/>
      <c r="D27" s="33"/>
      <c r="E27" s="33"/>
      <c r="F27" s="33"/>
      <c r="G27" s="33"/>
      <c r="H27" s="33"/>
    </row>
    <row r="28" spans="1:8" ht="27.6">
      <c r="A28" s="35" t="s">
        <v>28</v>
      </c>
      <c r="B28" s="82" t="s">
        <v>29</v>
      </c>
      <c r="C28" s="82"/>
      <c r="D28" s="37" t="s">
        <v>30</v>
      </c>
      <c r="E28" s="36" t="s">
        <v>31</v>
      </c>
      <c r="F28" s="36" t="s">
        <v>32</v>
      </c>
      <c r="G28" s="36" t="s">
        <v>54</v>
      </c>
      <c r="H28" s="36" t="s">
        <v>34</v>
      </c>
    </row>
    <row r="29" spans="1:8">
      <c r="A29" s="38" t="s">
        <v>35</v>
      </c>
      <c r="B29" s="83" t="s">
        <v>55</v>
      </c>
      <c r="C29" s="83"/>
      <c r="D29" s="39">
        <v>17822500</v>
      </c>
      <c r="E29" s="40">
        <f>D29*19.25%</f>
        <v>3430831.25</v>
      </c>
      <c r="F29" s="40">
        <f>D29+E29</f>
        <v>21253331.25</v>
      </c>
      <c r="G29" s="40">
        <f>D29*2.2%</f>
        <v>392095.00000000006</v>
      </c>
      <c r="H29" s="41">
        <f>+D29-G29</f>
        <v>17430405</v>
      </c>
    </row>
    <row r="30" spans="1:8">
      <c r="A30" s="38"/>
      <c r="B30" s="83"/>
      <c r="C30" s="83"/>
      <c r="D30" s="39"/>
      <c r="E30" s="40"/>
      <c r="F30" s="40"/>
      <c r="G30" s="40"/>
      <c r="H30" s="41"/>
    </row>
    <row r="31" spans="1:8">
      <c r="A31" s="84" t="s">
        <v>56</v>
      </c>
      <c r="B31" s="84"/>
      <c r="C31" s="84"/>
      <c r="D31" s="39">
        <f>SUM(D29:D30)</f>
        <v>17822500</v>
      </c>
      <c r="E31" s="42">
        <f>SUM(E29:E30)</f>
        <v>3430831.25</v>
      </c>
      <c r="F31" s="42">
        <f>SUM(F29:F30)</f>
        <v>21253331.25</v>
      </c>
      <c r="G31" s="42">
        <f>SUM(G29:G30)</f>
        <v>392095.00000000006</v>
      </c>
      <c r="H31" s="42">
        <f>SUM(H29:H30)</f>
        <v>17430405</v>
      </c>
    </row>
    <row r="32" spans="1:8">
      <c r="A32" s="33"/>
      <c r="B32" s="43"/>
      <c r="C32" s="43"/>
      <c r="D32" s="33"/>
      <c r="E32" s="33"/>
      <c r="F32" s="33"/>
      <c r="G32" s="33"/>
      <c r="H32" s="33"/>
    </row>
    <row r="33" spans="1:8">
      <c r="A33" s="33"/>
      <c r="B33" s="44"/>
      <c r="C33" s="44"/>
      <c r="D33" s="33"/>
      <c r="E33" s="33"/>
      <c r="F33" s="33"/>
      <c r="G33" s="33"/>
      <c r="H33" s="33"/>
    </row>
    <row r="34" spans="1:8">
      <c r="A34" s="85" t="s">
        <v>36</v>
      </c>
      <c r="B34" s="85"/>
      <c r="C34" s="42">
        <f>+E31</f>
        <v>3430831.25</v>
      </c>
      <c r="D34" s="33"/>
      <c r="E34" s="33"/>
      <c r="F34" s="33"/>
      <c r="G34" s="33"/>
      <c r="H34" s="33"/>
    </row>
    <row r="35" spans="1:8">
      <c r="A35" s="85" t="s">
        <v>37</v>
      </c>
      <c r="B35" s="85"/>
      <c r="C35" s="45">
        <f>+G31</f>
        <v>392095.00000000006</v>
      </c>
      <c r="D35" s="33"/>
      <c r="E35" s="33"/>
      <c r="F35" s="33"/>
      <c r="G35" s="33"/>
      <c r="H35" s="33"/>
    </row>
    <row r="36" spans="1:8">
      <c r="A36" s="86" t="s">
        <v>38</v>
      </c>
      <c r="B36" s="86"/>
      <c r="C36" s="46">
        <f>+C34+C35</f>
        <v>3822926.25</v>
      </c>
      <c r="D36" s="33"/>
      <c r="E36" s="33"/>
      <c r="F36" s="33"/>
      <c r="G36" s="33"/>
      <c r="H36" s="33"/>
    </row>
    <row r="37" spans="1:8">
      <c r="A37" s="33"/>
      <c r="B37" s="43"/>
      <c r="C37" s="43"/>
      <c r="D37" s="33"/>
      <c r="E37" s="33"/>
      <c r="F37" s="33"/>
      <c r="G37" s="33"/>
      <c r="H37" s="33"/>
    </row>
    <row r="38" spans="1:8">
      <c r="A38" s="33"/>
      <c r="B38" s="43"/>
      <c r="C38" s="43"/>
      <c r="D38" s="33"/>
      <c r="E38" s="33"/>
      <c r="F38" s="33"/>
      <c r="G38" s="33"/>
      <c r="H38" s="33"/>
    </row>
    <row r="39" spans="1:8">
      <c r="A39" s="33"/>
      <c r="B39" s="43"/>
      <c r="C39" s="43"/>
      <c r="D39" s="33"/>
      <c r="E39" s="33"/>
      <c r="F39" s="33"/>
      <c r="G39" s="33"/>
      <c r="H39" s="33"/>
    </row>
    <row r="40" spans="1:8">
      <c r="A40" s="33"/>
      <c r="B40" s="44"/>
      <c r="C40" s="44"/>
      <c r="D40" s="33"/>
      <c r="E40" s="33"/>
      <c r="F40" s="33"/>
      <c r="G40" s="33"/>
      <c r="H40" s="33"/>
    </row>
    <row r="41" spans="1:8">
      <c r="A41" s="33"/>
      <c r="B41" s="44" t="s">
        <v>40</v>
      </c>
      <c r="C41" s="33"/>
      <c r="D41" s="33"/>
      <c r="E41" s="33"/>
      <c r="F41" s="76" t="s">
        <v>57</v>
      </c>
      <c r="G41" s="76"/>
      <c r="H41" s="76"/>
    </row>
    <row r="42" spans="1:8">
      <c r="A42" s="33"/>
      <c r="B42" s="44"/>
      <c r="C42" s="33"/>
      <c r="D42" s="33"/>
      <c r="E42" s="33"/>
      <c r="F42" s="76"/>
      <c r="G42" s="76"/>
      <c r="H42" s="76"/>
    </row>
    <row r="43" spans="1:8">
      <c r="A43" s="33"/>
      <c r="B43" s="44"/>
      <c r="C43" s="33"/>
      <c r="D43" s="33"/>
      <c r="E43" s="33"/>
      <c r="F43" s="76"/>
      <c r="G43" s="76"/>
      <c r="H43" s="76"/>
    </row>
    <row r="44" spans="1:8">
      <c r="A44" s="33"/>
      <c r="B44" s="34"/>
      <c r="C44" s="33"/>
      <c r="D44" s="33"/>
      <c r="E44" s="33"/>
      <c r="F44" s="33"/>
      <c r="G44" s="43"/>
      <c r="H44" s="43"/>
    </row>
    <row r="45" spans="1:8">
      <c r="A45" s="33"/>
      <c r="B45" s="34"/>
      <c r="C45" s="33"/>
      <c r="D45" s="33"/>
      <c r="E45" s="33"/>
      <c r="F45" s="33"/>
      <c r="G45" s="43"/>
      <c r="H45" s="43"/>
    </row>
    <row r="46" spans="1:8">
      <c r="A46" s="33"/>
      <c r="B46" s="34"/>
      <c r="C46" s="33"/>
      <c r="D46" s="33"/>
      <c r="E46" s="33"/>
      <c r="F46" s="33"/>
      <c r="G46" s="43"/>
      <c r="H46" s="43"/>
    </row>
    <row r="47" spans="1:8">
      <c r="A47" s="33"/>
      <c r="B47" s="34"/>
      <c r="C47" s="33"/>
      <c r="D47" s="33"/>
      <c r="E47" s="33"/>
      <c r="F47" s="33"/>
      <c r="G47" s="43"/>
      <c r="H47" s="43"/>
    </row>
    <row r="48" spans="1:8">
      <c r="A48" s="33"/>
      <c r="B48" s="34"/>
      <c r="C48" s="33"/>
      <c r="D48" s="33"/>
      <c r="E48" s="33"/>
      <c r="F48" s="33"/>
      <c r="G48" s="43"/>
      <c r="H48" s="43"/>
    </row>
    <row r="49" spans="1:8">
      <c r="A49" s="33"/>
      <c r="B49" s="34"/>
      <c r="C49" s="33"/>
      <c r="D49" s="33"/>
      <c r="E49" s="33"/>
      <c r="F49" s="33"/>
      <c r="G49" s="43"/>
      <c r="H49" s="43"/>
    </row>
    <row r="50" spans="1:8">
      <c r="A50" s="33"/>
      <c r="B50" s="34"/>
      <c r="C50" s="33"/>
      <c r="D50" s="33"/>
      <c r="E50" s="33"/>
      <c r="F50" s="33"/>
      <c r="G50" s="43"/>
      <c r="H50" s="43"/>
    </row>
    <row r="51" spans="1:8">
      <c r="A51" s="33"/>
      <c r="B51" s="34"/>
      <c r="C51" s="33"/>
      <c r="D51" s="33"/>
      <c r="E51" s="33"/>
      <c r="F51" s="33"/>
      <c r="G51" s="43"/>
      <c r="H51" s="43"/>
    </row>
    <row r="52" spans="1:8">
      <c r="A52" s="33"/>
      <c r="B52" s="34"/>
      <c r="C52" s="33"/>
      <c r="D52" s="33"/>
      <c r="E52" s="33"/>
      <c r="F52" s="33"/>
      <c r="G52" s="43"/>
      <c r="H52" s="43"/>
    </row>
    <row r="53" spans="1:8">
      <c r="A53" s="33"/>
      <c r="B53" s="34"/>
      <c r="C53" s="33"/>
      <c r="D53" s="33"/>
      <c r="E53" s="33"/>
      <c r="F53" s="33"/>
      <c r="G53" s="43"/>
      <c r="H53" s="43"/>
    </row>
    <row r="54" spans="1:8">
      <c r="A54" s="33"/>
      <c r="B54" s="34"/>
      <c r="C54" s="33"/>
      <c r="D54" s="33"/>
      <c r="E54" s="33"/>
      <c r="F54" s="33"/>
      <c r="G54" s="43"/>
      <c r="H54" s="43"/>
    </row>
    <row r="55" spans="1:8">
      <c r="A55" s="33"/>
      <c r="B55" s="34"/>
      <c r="C55" s="33"/>
      <c r="D55" s="33"/>
      <c r="E55" s="33"/>
      <c r="F55" s="33"/>
      <c r="G55" s="43"/>
      <c r="H55" s="43"/>
    </row>
    <row r="56" spans="1:8">
      <c r="A56" s="33"/>
      <c r="B56" s="34"/>
      <c r="C56" s="33"/>
      <c r="D56" s="33"/>
      <c r="E56" s="33"/>
      <c r="F56" s="33"/>
      <c r="G56" s="43"/>
      <c r="H56" s="43"/>
    </row>
    <row r="57" spans="1:8">
      <c r="A57" s="33"/>
      <c r="B57" s="34"/>
      <c r="C57" s="33"/>
      <c r="D57" s="33"/>
      <c r="E57" s="33"/>
      <c r="F57" s="33"/>
      <c r="G57" s="43"/>
      <c r="H57" s="43"/>
    </row>
    <row r="58" spans="1:8">
      <c r="A58" s="33"/>
      <c r="B58" s="34"/>
      <c r="C58" s="33"/>
      <c r="D58" s="33"/>
      <c r="E58" s="33"/>
      <c r="F58" s="33"/>
      <c r="G58" s="43"/>
      <c r="H58" s="43"/>
    </row>
    <row r="59" spans="1:8">
      <c r="A59" s="33"/>
      <c r="B59" s="34"/>
      <c r="C59" s="33"/>
      <c r="D59" s="33"/>
      <c r="E59" s="33"/>
      <c r="F59" s="33"/>
      <c r="G59" s="43"/>
      <c r="H59" s="43"/>
    </row>
    <row r="60" spans="1:8">
      <c r="A60" s="33"/>
      <c r="B60" s="34"/>
      <c r="C60" s="33"/>
      <c r="D60" s="33"/>
      <c r="E60" s="33"/>
      <c r="F60" s="33"/>
      <c r="G60" s="43"/>
      <c r="H60" s="43"/>
    </row>
    <row r="61" spans="1:8">
      <c r="A61" s="33"/>
      <c r="B61" s="34"/>
      <c r="C61" s="33"/>
      <c r="D61" s="33"/>
      <c r="E61" s="33"/>
      <c r="F61" s="33"/>
      <c r="G61" s="43"/>
      <c r="H61" s="43"/>
    </row>
    <row r="62" spans="1:8">
      <c r="A62" s="33"/>
      <c r="B62" s="34"/>
      <c r="C62" s="33"/>
      <c r="D62" s="33"/>
      <c r="E62" s="33"/>
      <c r="F62" s="33"/>
      <c r="G62" s="43"/>
      <c r="H62" s="43"/>
    </row>
    <row r="63" spans="1:8">
      <c r="A63" s="33"/>
      <c r="B63" s="34"/>
      <c r="C63" s="33"/>
      <c r="D63" s="33"/>
      <c r="E63" s="33"/>
      <c r="F63" s="33"/>
      <c r="G63" s="43"/>
      <c r="H63" s="43"/>
    </row>
    <row r="64" spans="1:8">
      <c r="A64" s="33"/>
      <c r="B64" s="34"/>
      <c r="C64" s="33"/>
      <c r="D64" s="33"/>
      <c r="E64" s="33"/>
      <c r="F64" s="33"/>
      <c r="G64" s="43"/>
      <c r="H64" s="43"/>
    </row>
    <row r="65" spans="1:8">
      <c r="A65" s="33"/>
      <c r="B65" s="34"/>
      <c r="C65" s="33"/>
      <c r="D65" s="33"/>
      <c r="E65" s="33"/>
      <c r="F65" s="33"/>
      <c r="G65" s="33"/>
      <c r="H65" s="33"/>
    </row>
    <row r="66" spans="1:8">
      <c r="A66" s="33"/>
      <c r="B66" s="34"/>
      <c r="C66" s="33"/>
      <c r="D66" s="33"/>
      <c r="E66" s="33"/>
      <c r="F66" s="33"/>
      <c r="G66" s="33"/>
      <c r="H66" s="33"/>
    </row>
    <row r="67" spans="1:8">
      <c r="A67" s="33"/>
      <c r="B67" s="34"/>
      <c r="C67" s="33"/>
      <c r="D67" s="33"/>
      <c r="E67" s="33"/>
      <c r="F67" s="33"/>
      <c r="G67" s="33"/>
      <c r="H67" s="33"/>
    </row>
    <row r="68" spans="1:8">
      <c r="A68" s="77" t="s">
        <v>42</v>
      </c>
      <c r="B68" s="77"/>
      <c r="C68" s="77"/>
      <c r="D68" s="77"/>
      <c r="E68" s="77"/>
      <c r="F68" s="77"/>
      <c r="G68" s="77"/>
      <c r="H68" s="77"/>
    </row>
    <row r="69" spans="1:8">
      <c r="A69" s="77" t="s">
        <v>58</v>
      </c>
      <c r="B69" s="77"/>
      <c r="C69" s="77"/>
      <c r="D69" s="77"/>
      <c r="E69" s="77"/>
      <c r="F69" s="77"/>
      <c r="G69" s="77"/>
      <c r="H69" s="77"/>
    </row>
    <row r="70" spans="1:8">
      <c r="A70" s="77" t="s">
        <v>44</v>
      </c>
      <c r="B70" s="77"/>
      <c r="C70" s="77"/>
      <c r="D70" s="77"/>
      <c r="E70" s="77"/>
      <c r="F70" s="77"/>
      <c r="G70" s="77"/>
      <c r="H70" s="77"/>
    </row>
    <row r="71" spans="1:8">
      <c r="A71" s="77" t="s">
        <v>45</v>
      </c>
      <c r="B71" s="77"/>
      <c r="C71" s="77"/>
      <c r="D71" s="77"/>
      <c r="E71" s="77"/>
      <c r="F71" s="77"/>
      <c r="G71" s="77"/>
      <c r="H71" s="77"/>
    </row>
  </sheetData>
  <mergeCells count="42">
    <mergeCell ref="A2:C2"/>
    <mergeCell ref="G2:H2"/>
    <mergeCell ref="A3:C3"/>
    <mergeCell ref="G3:H3"/>
    <mergeCell ref="A4:C4"/>
    <mergeCell ref="G4:H4"/>
    <mergeCell ref="A5:C5"/>
    <mergeCell ref="G5:H5"/>
    <mergeCell ref="A6:C6"/>
    <mergeCell ref="G6:H6"/>
    <mergeCell ref="A7:C7"/>
    <mergeCell ref="G7:H7"/>
    <mergeCell ref="A8:C8"/>
    <mergeCell ref="G8:H8"/>
    <mergeCell ref="A9:C9"/>
    <mergeCell ref="G9:H9"/>
    <mergeCell ref="A10:C10"/>
    <mergeCell ref="G10:H10"/>
    <mergeCell ref="A11:C11"/>
    <mergeCell ref="G11:H11"/>
    <mergeCell ref="G12:H12"/>
    <mergeCell ref="G15:H15"/>
    <mergeCell ref="A16:C16"/>
    <mergeCell ref="G16:H16"/>
    <mergeCell ref="F42:H42"/>
    <mergeCell ref="G17:H17"/>
    <mergeCell ref="G18:H18"/>
    <mergeCell ref="A26:H26"/>
    <mergeCell ref="B28:C28"/>
    <mergeCell ref="B29:C29"/>
    <mergeCell ref="B30:C30"/>
    <mergeCell ref="A31:C31"/>
    <mergeCell ref="A34:B34"/>
    <mergeCell ref="A35:B35"/>
    <mergeCell ref="A36:B36"/>
    <mergeCell ref="F41:H41"/>
    <mergeCell ref="G19:H19"/>
    <mergeCell ref="F43:H43"/>
    <mergeCell ref="A68:H68"/>
    <mergeCell ref="A69:H69"/>
    <mergeCell ref="A70:H70"/>
    <mergeCell ref="A71:H7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934F-607B-4FC7-A276-5FBA33ECCD5C}">
  <dimension ref="A1:I72"/>
  <sheetViews>
    <sheetView topLeftCell="A9" workbookViewId="0">
      <selection activeCell="B30" sqref="B30:C30"/>
    </sheetView>
  </sheetViews>
  <sheetFormatPr defaultColWidth="11.44140625" defaultRowHeight="14.4"/>
  <cols>
    <col min="2" max="2" width="19.5546875" customWidth="1"/>
    <col min="4" max="4" width="18.6640625" customWidth="1"/>
    <col min="5" max="5" width="18.5546875" customWidth="1"/>
    <col min="6" max="6" width="18.6640625" customWidth="1"/>
    <col min="7" max="7" width="18.109375" customWidth="1"/>
    <col min="8" max="8" width="18" customWidth="1"/>
  </cols>
  <sheetData>
    <row r="1" spans="1:9">
      <c r="A1" s="23"/>
      <c r="B1" s="24"/>
      <c r="H1" s="105"/>
      <c r="I1" s="105"/>
    </row>
    <row r="2" spans="1:9">
      <c r="A2" s="96" t="s">
        <v>0</v>
      </c>
      <c r="B2" s="96"/>
      <c r="C2" s="96"/>
      <c r="G2" s="97" t="s">
        <v>1</v>
      </c>
      <c r="H2" s="97"/>
      <c r="I2" s="23"/>
    </row>
    <row r="3" spans="1:9">
      <c r="A3" s="92" t="s">
        <v>2</v>
      </c>
      <c r="B3" s="92"/>
      <c r="C3" s="92"/>
      <c r="G3" s="93" t="s">
        <v>3</v>
      </c>
      <c r="H3" s="93"/>
      <c r="I3" s="25"/>
    </row>
    <row r="4" spans="1:9">
      <c r="A4" s="98" t="s">
        <v>4</v>
      </c>
      <c r="B4" s="98"/>
      <c r="C4" s="98"/>
      <c r="G4" s="93" t="s">
        <v>5</v>
      </c>
      <c r="H4" s="93"/>
      <c r="I4" s="25"/>
    </row>
    <row r="5" spans="1:9" ht="18">
      <c r="A5" s="92" t="s">
        <v>6</v>
      </c>
      <c r="B5" s="92"/>
      <c r="C5" s="92"/>
      <c r="D5" s="26"/>
      <c r="E5" s="26"/>
      <c r="F5" s="26"/>
      <c r="G5" s="93" t="s">
        <v>7</v>
      </c>
      <c r="H5" s="93"/>
      <c r="I5" s="25"/>
    </row>
    <row r="6" spans="1:9" ht="18">
      <c r="A6" s="92" t="s">
        <v>8</v>
      </c>
      <c r="B6" s="92"/>
      <c r="C6" s="92"/>
      <c r="D6" s="26"/>
      <c r="E6" s="26"/>
      <c r="F6" s="26"/>
      <c r="G6" s="93" t="s">
        <v>9</v>
      </c>
      <c r="H6" s="93"/>
      <c r="I6" s="25"/>
    </row>
    <row r="7" spans="1:9" ht="18">
      <c r="A7" s="94" t="s">
        <v>46</v>
      </c>
      <c r="B7" s="94"/>
      <c r="C7" s="94"/>
      <c r="D7" s="26"/>
      <c r="E7" s="26"/>
      <c r="F7" s="26"/>
      <c r="G7" s="93" t="s">
        <v>15</v>
      </c>
      <c r="H7" s="93"/>
      <c r="I7" s="25"/>
    </row>
    <row r="8" spans="1:9" ht="18">
      <c r="A8" s="92" t="s">
        <v>12</v>
      </c>
      <c r="B8" s="92"/>
      <c r="C8" s="92"/>
      <c r="D8" s="26"/>
      <c r="E8" s="26"/>
      <c r="F8" s="26"/>
      <c r="G8" s="93" t="s">
        <v>47</v>
      </c>
      <c r="H8" s="93"/>
      <c r="I8" s="25"/>
    </row>
    <row r="9" spans="1:9" ht="18">
      <c r="A9" s="94" t="s">
        <v>14</v>
      </c>
      <c r="B9" s="94"/>
      <c r="C9" s="94"/>
      <c r="D9" s="26"/>
      <c r="E9" s="26"/>
      <c r="F9" s="26"/>
      <c r="G9" s="93" t="s">
        <v>15</v>
      </c>
      <c r="H9" s="93"/>
      <c r="I9" s="25"/>
    </row>
    <row r="10" spans="1:9" ht="18">
      <c r="A10" s="95" t="s">
        <v>48</v>
      </c>
      <c r="B10" s="95"/>
      <c r="C10" s="95"/>
      <c r="D10" s="26"/>
      <c r="E10" s="26"/>
      <c r="F10" s="26"/>
      <c r="G10" s="77" t="s">
        <v>17</v>
      </c>
      <c r="H10" s="77"/>
      <c r="I10" s="47"/>
    </row>
    <row r="11" spans="1:9" ht="18">
      <c r="A11" s="87" t="s">
        <v>49</v>
      </c>
      <c r="B11" s="87"/>
      <c r="C11" s="87"/>
      <c r="D11" s="26"/>
      <c r="E11" s="26"/>
      <c r="F11" s="26"/>
      <c r="G11" s="88" t="s">
        <v>50</v>
      </c>
      <c r="H11" s="88"/>
      <c r="I11" s="48"/>
    </row>
    <row r="12" spans="1:9" ht="18">
      <c r="A12" s="27" t="s">
        <v>20</v>
      </c>
      <c r="B12" s="27"/>
      <c r="C12" s="27"/>
      <c r="D12" s="26"/>
      <c r="E12" s="26"/>
      <c r="F12" s="26"/>
      <c r="G12" s="89" t="s">
        <v>21</v>
      </c>
      <c r="H12" s="89"/>
      <c r="I12" s="27"/>
    </row>
    <row r="13" spans="1:9" ht="17.399999999999999">
      <c r="A13" s="28"/>
      <c r="B13" s="28"/>
      <c r="C13" s="28"/>
      <c r="D13" s="29"/>
      <c r="E13" s="29"/>
      <c r="F13" s="29"/>
      <c r="G13" s="30"/>
      <c r="H13" s="31"/>
      <c r="I13" s="23"/>
    </row>
    <row r="14" spans="1:9" ht="17.399999999999999">
      <c r="A14" s="28"/>
      <c r="B14" s="28"/>
      <c r="C14" s="28"/>
      <c r="D14" s="29"/>
      <c r="E14" s="29"/>
      <c r="F14" s="29"/>
      <c r="G14" s="102"/>
      <c r="H14" s="102"/>
      <c r="I14" s="23"/>
    </row>
    <row r="15" spans="1:9" ht="17.399999999999999">
      <c r="A15" s="28"/>
      <c r="B15" s="28"/>
      <c r="C15" s="28"/>
      <c r="D15" s="29"/>
      <c r="E15" s="29"/>
      <c r="F15" s="29"/>
      <c r="G15" s="78" t="s">
        <v>68</v>
      </c>
      <c r="H15" s="78"/>
      <c r="I15" s="23"/>
    </row>
    <row r="16" spans="1:9" ht="17.399999999999999">
      <c r="A16" s="90" t="s">
        <v>69</v>
      </c>
      <c r="B16" s="90"/>
      <c r="C16" s="90"/>
      <c r="D16" s="29"/>
      <c r="E16" s="29"/>
      <c r="F16" s="29"/>
      <c r="G16" s="103" t="s">
        <v>70</v>
      </c>
      <c r="H16" s="78"/>
      <c r="I16" s="23"/>
    </row>
    <row r="17" spans="1:9" ht="17.399999999999999">
      <c r="A17" s="32"/>
      <c r="B17" s="32"/>
      <c r="C17" s="32"/>
      <c r="D17" s="29"/>
      <c r="E17" s="29"/>
      <c r="F17" s="29"/>
      <c r="G17" s="104" t="s">
        <v>71</v>
      </c>
      <c r="H17" s="78"/>
      <c r="I17" s="23"/>
    </row>
    <row r="18" spans="1:9">
      <c r="A18" s="33"/>
      <c r="B18" s="34"/>
      <c r="C18" s="33"/>
      <c r="D18" s="33"/>
      <c r="E18" s="33"/>
      <c r="F18" s="33"/>
      <c r="G18" s="78" t="s">
        <v>72</v>
      </c>
      <c r="H18" s="78"/>
    </row>
    <row r="19" spans="1:9">
      <c r="A19" s="33"/>
      <c r="B19" s="34"/>
      <c r="C19" s="33"/>
      <c r="D19" s="33"/>
      <c r="E19" s="33"/>
      <c r="F19" s="33"/>
      <c r="G19" s="78"/>
      <c r="H19" s="78"/>
    </row>
    <row r="20" spans="1:9">
      <c r="A20" s="33" t="s">
        <v>63</v>
      </c>
      <c r="B20" s="34"/>
      <c r="C20" s="33"/>
      <c r="D20" s="33"/>
      <c r="E20" s="33"/>
      <c r="F20" s="33"/>
      <c r="G20" s="33"/>
      <c r="H20" s="33"/>
    </row>
    <row r="21" spans="1:9">
      <c r="A21" s="33"/>
      <c r="B21" s="34"/>
      <c r="C21" s="33"/>
      <c r="D21" s="33"/>
      <c r="E21" s="33"/>
      <c r="F21" s="33"/>
      <c r="G21" s="33"/>
      <c r="H21" s="33"/>
    </row>
    <row r="22" spans="1:9">
      <c r="A22" s="33"/>
      <c r="B22" s="34"/>
      <c r="C22" s="33"/>
      <c r="D22" s="33"/>
      <c r="E22" s="33"/>
      <c r="F22" s="33" t="s">
        <v>73</v>
      </c>
      <c r="G22" s="33"/>
      <c r="H22" s="33"/>
    </row>
    <row r="23" spans="1:9">
      <c r="A23" s="33"/>
      <c r="B23" s="34"/>
      <c r="C23" s="33"/>
      <c r="D23" s="33"/>
      <c r="E23" s="33"/>
      <c r="F23" s="33" t="s">
        <v>73</v>
      </c>
      <c r="G23" s="33"/>
      <c r="H23" s="33"/>
    </row>
    <row r="24" spans="1:9">
      <c r="A24" s="33"/>
      <c r="B24" s="34"/>
      <c r="C24" s="33"/>
      <c r="D24" s="33"/>
      <c r="E24" s="33"/>
      <c r="F24" s="33"/>
      <c r="G24" s="33"/>
      <c r="H24" s="33"/>
    </row>
    <row r="25" spans="1:9">
      <c r="A25" s="33"/>
      <c r="B25" s="34"/>
      <c r="C25" s="33"/>
      <c r="D25" s="33"/>
      <c r="E25" s="33"/>
      <c r="F25" s="33"/>
      <c r="G25" s="33"/>
      <c r="H25" s="33"/>
    </row>
    <row r="26" spans="1:9" ht="15" thickBot="1">
      <c r="A26" s="33"/>
      <c r="B26" s="34"/>
      <c r="C26" s="33"/>
      <c r="D26" s="33"/>
      <c r="E26" s="33"/>
      <c r="F26" s="33"/>
      <c r="G26" s="33"/>
      <c r="H26" s="33"/>
    </row>
    <row r="27" spans="1:9" ht="18" thickBot="1">
      <c r="A27" s="79" t="s">
        <v>74</v>
      </c>
      <c r="B27" s="80"/>
      <c r="C27" s="80"/>
      <c r="D27" s="80"/>
      <c r="E27" s="80"/>
      <c r="F27" s="80"/>
      <c r="G27" s="80"/>
      <c r="H27" s="81"/>
    </row>
    <row r="28" spans="1:9">
      <c r="A28" s="33"/>
      <c r="B28" s="34"/>
      <c r="C28" s="33"/>
      <c r="D28" s="33"/>
      <c r="E28" s="33"/>
      <c r="F28" s="33"/>
      <c r="G28" s="33"/>
      <c r="H28" s="33"/>
    </row>
    <row r="29" spans="1:9">
      <c r="A29" s="36" t="s">
        <v>28</v>
      </c>
      <c r="B29" s="82" t="s">
        <v>29</v>
      </c>
      <c r="C29" s="82"/>
      <c r="D29" s="37" t="s">
        <v>75</v>
      </c>
      <c r="E29" s="36" t="s">
        <v>31</v>
      </c>
      <c r="F29" s="36" t="s">
        <v>32</v>
      </c>
      <c r="G29" s="36" t="s">
        <v>33</v>
      </c>
      <c r="H29" s="36" t="s">
        <v>34</v>
      </c>
      <c r="I29" s="49"/>
    </row>
    <row r="30" spans="1:9">
      <c r="A30" s="50" t="s">
        <v>35</v>
      </c>
      <c r="B30" s="83" t="s">
        <v>76</v>
      </c>
      <c r="C30" s="83"/>
      <c r="D30" s="51">
        <v>85500000</v>
      </c>
      <c r="E30" s="51">
        <f>D30*19.25%</f>
        <v>16458750</v>
      </c>
      <c r="F30" s="51">
        <f>+D30+E30</f>
        <v>101958750</v>
      </c>
      <c r="G30" s="51">
        <f>+D30*5.5%</f>
        <v>4702500</v>
      </c>
      <c r="H30" s="51">
        <f>+D30-G30</f>
        <v>80797500</v>
      </c>
      <c r="I30" s="49"/>
    </row>
    <row r="31" spans="1:9">
      <c r="A31" s="50"/>
      <c r="B31" s="99"/>
      <c r="C31" s="100"/>
      <c r="D31" s="51"/>
      <c r="E31" s="51"/>
      <c r="F31" s="51"/>
      <c r="G31" s="51"/>
      <c r="H31" s="51"/>
      <c r="I31" s="49"/>
    </row>
    <row r="32" spans="1:9">
      <c r="A32" s="101" t="s">
        <v>56</v>
      </c>
      <c r="B32" s="101"/>
      <c r="C32" s="101"/>
      <c r="D32" s="51">
        <f>SUM(D30:D30)</f>
        <v>85500000</v>
      </c>
      <c r="E32" s="51">
        <f>SUM(E30:E30)</f>
        <v>16458750</v>
      </c>
      <c r="F32" s="51">
        <f>SUM(F30:F30)</f>
        <v>101958750</v>
      </c>
      <c r="G32" s="51">
        <f>SUM(G30:G30)</f>
        <v>4702500</v>
      </c>
      <c r="H32" s="52">
        <f>SUM(H30:H30)</f>
        <v>80797500</v>
      </c>
    </row>
    <row r="33" spans="1:8">
      <c r="A33" s="33"/>
      <c r="B33" s="43"/>
      <c r="C33" s="43"/>
      <c r="D33" s="33"/>
      <c r="E33" s="33"/>
      <c r="F33" s="33"/>
      <c r="G33" s="33"/>
      <c r="H33" s="33"/>
    </row>
    <row r="34" spans="1:8">
      <c r="A34" s="33"/>
      <c r="B34" s="44"/>
      <c r="C34" s="44"/>
      <c r="D34" s="33"/>
      <c r="E34" s="33"/>
      <c r="F34" s="33"/>
      <c r="G34" s="33"/>
      <c r="H34" s="33"/>
    </row>
    <row r="35" spans="1:8">
      <c r="A35" s="85" t="s">
        <v>36</v>
      </c>
      <c r="B35" s="85"/>
      <c r="C35" s="45">
        <f>+E32</f>
        <v>16458750</v>
      </c>
      <c r="D35" s="33"/>
      <c r="E35" s="33"/>
      <c r="F35" s="33"/>
      <c r="G35" s="33"/>
      <c r="H35" s="33"/>
    </row>
    <row r="36" spans="1:8">
      <c r="A36" s="85" t="s">
        <v>37</v>
      </c>
      <c r="B36" s="85"/>
      <c r="C36" s="45">
        <f>+G32</f>
        <v>4702500</v>
      </c>
      <c r="D36" s="33"/>
      <c r="E36" s="33"/>
      <c r="F36" s="33"/>
      <c r="G36" s="33"/>
      <c r="H36" s="33"/>
    </row>
    <row r="37" spans="1:8">
      <c r="A37" s="86" t="s">
        <v>38</v>
      </c>
      <c r="B37" s="86"/>
      <c r="C37" s="46">
        <f>+C35+C36</f>
        <v>21161250</v>
      </c>
      <c r="D37" s="33"/>
      <c r="E37" s="33"/>
      <c r="F37" s="53"/>
      <c r="G37" s="33"/>
      <c r="H37" s="33"/>
    </row>
    <row r="38" spans="1:8">
      <c r="A38" s="33"/>
      <c r="B38" s="43"/>
      <c r="C38" s="43"/>
      <c r="D38" s="33"/>
      <c r="E38" s="33"/>
      <c r="F38" s="33"/>
      <c r="G38" s="33"/>
      <c r="H38" s="33"/>
    </row>
    <row r="39" spans="1:8">
      <c r="A39" s="33"/>
      <c r="B39" s="43"/>
      <c r="C39" s="43"/>
      <c r="D39" s="33"/>
      <c r="E39" s="33"/>
      <c r="F39" s="33"/>
      <c r="G39" s="33"/>
      <c r="H39" s="33"/>
    </row>
    <row r="40" spans="1:8">
      <c r="A40" s="33"/>
      <c r="B40" s="43"/>
      <c r="C40" s="43"/>
      <c r="D40" s="33"/>
      <c r="E40" s="33"/>
      <c r="F40" s="33"/>
      <c r="G40" s="33"/>
      <c r="H40" s="33"/>
    </row>
    <row r="41" spans="1:8">
      <c r="A41" s="33"/>
      <c r="B41" s="44"/>
      <c r="C41" s="44"/>
      <c r="D41" s="33"/>
      <c r="E41" s="33"/>
      <c r="F41" s="33"/>
      <c r="G41" s="33"/>
      <c r="H41" s="33"/>
    </row>
    <row r="42" spans="1:8">
      <c r="A42" s="33"/>
      <c r="B42" s="44" t="s">
        <v>40</v>
      </c>
      <c r="C42" s="33"/>
      <c r="D42" s="33"/>
      <c r="E42" s="33"/>
      <c r="F42" s="76" t="s">
        <v>57</v>
      </c>
      <c r="G42" s="76"/>
      <c r="H42" s="76"/>
    </row>
    <row r="43" spans="1:8">
      <c r="A43" s="33"/>
      <c r="B43" s="34"/>
      <c r="C43" s="33"/>
      <c r="D43" s="33"/>
      <c r="E43" s="33"/>
      <c r="F43" s="76"/>
      <c r="G43" s="76"/>
      <c r="H43" s="76"/>
    </row>
    <row r="44" spans="1:8">
      <c r="A44" s="33"/>
      <c r="B44" s="34"/>
      <c r="C44" s="33"/>
      <c r="D44" s="33"/>
      <c r="E44" s="33"/>
      <c r="F44" s="76"/>
      <c r="G44" s="76"/>
      <c r="H44" s="76"/>
    </row>
    <row r="45" spans="1:8">
      <c r="A45" s="33"/>
      <c r="B45" s="34"/>
      <c r="C45" s="33"/>
      <c r="D45" s="33"/>
      <c r="E45" s="33"/>
      <c r="F45" s="44"/>
      <c r="G45" s="43"/>
      <c r="H45" s="43"/>
    </row>
    <row r="46" spans="1:8">
      <c r="A46" s="33"/>
      <c r="B46" s="34"/>
      <c r="C46" s="33"/>
      <c r="D46" s="33"/>
      <c r="E46" s="33"/>
      <c r="F46" s="44"/>
      <c r="G46" s="43"/>
      <c r="H46" s="43"/>
    </row>
    <row r="47" spans="1:8">
      <c r="A47" s="33"/>
      <c r="B47" s="34"/>
      <c r="C47" s="33"/>
      <c r="D47" s="33"/>
      <c r="E47" s="33"/>
      <c r="F47" s="44"/>
      <c r="G47" s="43"/>
      <c r="H47" s="43"/>
    </row>
    <row r="48" spans="1:8">
      <c r="A48" s="33"/>
      <c r="B48" s="34"/>
      <c r="C48" s="33"/>
      <c r="D48" s="33"/>
      <c r="E48" s="33"/>
      <c r="F48" s="44"/>
      <c r="G48" s="43"/>
      <c r="H48" s="43"/>
    </row>
    <row r="49" spans="1:8">
      <c r="A49" s="33"/>
      <c r="B49" s="34"/>
      <c r="C49" s="33"/>
      <c r="D49" s="33"/>
      <c r="E49" s="33"/>
      <c r="F49" s="44"/>
      <c r="G49" s="43"/>
      <c r="H49" s="43"/>
    </row>
    <row r="50" spans="1:8">
      <c r="A50" s="33"/>
      <c r="B50" s="34"/>
      <c r="C50" s="33"/>
      <c r="D50" s="33"/>
      <c r="E50" s="33"/>
      <c r="F50" s="44"/>
      <c r="G50" s="43"/>
      <c r="H50" s="43"/>
    </row>
    <row r="51" spans="1:8">
      <c r="A51" s="33"/>
      <c r="B51" s="34"/>
      <c r="C51" s="33"/>
      <c r="D51" s="33"/>
      <c r="E51" s="33"/>
      <c r="F51" s="44"/>
      <c r="G51" s="43"/>
      <c r="H51" s="43"/>
    </row>
    <row r="52" spans="1:8">
      <c r="A52" s="33"/>
      <c r="B52" s="34"/>
      <c r="C52" s="33"/>
      <c r="D52" s="33"/>
      <c r="E52" s="33"/>
      <c r="F52" s="44"/>
      <c r="G52" s="43"/>
      <c r="H52" s="43"/>
    </row>
    <row r="53" spans="1:8">
      <c r="A53" s="33"/>
      <c r="B53" s="34"/>
      <c r="C53" s="33"/>
      <c r="D53" s="33"/>
      <c r="E53" s="33"/>
      <c r="F53" s="44"/>
      <c r="G53" s="43"/>
      <c r="H53" s="43"/>
    </row>
    <row r="54" spans="1:8">
      <c r="A54" s="33"/>
      <c r="B54" s="34"/>
      <c r="C54" s="33"/>
      <c r="D54" s="33"/>
      <c r="E54" s="33"/>
      <c r="F54" s="44"/>
      <c r="G54" s="43"/>
      <c r="H54" s="43"/>
    </row>
    <row r="55" spans="1:8">
      <c r="A55" s="33"/>
      <c r="B55" s="34"/>
      <c r="C55" s="33"/>
      <c r="D55" s="33"/>
      <c r="E55" s="33"/>
      <c r="F55" s="44"/>
      <c r="G55" s="43"/>
      <c r="H55" s="43"/>
    </row>
    <row r="56" spans="1:8">
      <c r="A56" s="33"/>
      <c r="B56" s="34"/>
      <c r="C56" s="33"/>
      <c r="D56" s="33"/>
      <c r="E56" s="33"/>
      <c r="F56" s="33"/>
      <c r="G56" s="43"/>
      <c r="H56" s="43"/>
    </row>
    <row r="57" spans="1:8">
      <c r="A57" s="33"/>
      <c r="B57" s="34"/>
      <c r="C57" s="33"/>
      <c r="D57" s="33"/>
      <c r="E57" s="33"/>
      <c r="F57" s="33"/>
      <c r="G57" s="43"/>
      <c r="H57" s="43"/>
    </row>
    <row r="58" spans="1:8">
      <c r="A58" s="33"/>
      <c r="B58" s="34"/>
      <c r="C58" s="33"/>
      <c r="D58" s="33"/>
      <c r="E58" s="33"/>
      <c r="F58" s="33"/>
      <c r="G58" s="43"/>
      <c r="H58" s="43"/>
    </row>
    <row r="59" spans="1:8">
      <c r="A59" s="33"/>
      <c r="B59" s="34"/>
      <c r="C59" s="33"/>
      <c r="D59" s="33"/>
      <c r="E59" s="33"/>
      <c r="F59" s="33"/>
      <c r="G59" s="43"/>
      <c r="H59" s="43"/>
    </row>
    <row r="60" spans="1:8">
      <c r="A60" s="33"/>
      <c r="B60" s="34"/>
      <c r="C60" s="33"/>
      <c r="D60" s="33"/>
      <c r="E60" s="33"/>
      <c r="F60" s="33"/>
      <c r="G60" s="43"/>
      <c r="H60" s="43"/>
    </row>
    <row r="61" spans="1:8">
      <c r="A61" s="33"/>
      <c r="B61" s="34"/>
      <c r="C61" s="33"/>
      <c r="D61" s="33"/>
      <c r="E61" s="33"/>
      <c r="F61" s="33"/>
      <c r="G61" s="43"/>
      <c r="H61" s="43"/>
    </row>
    <row r="62" spans="1:8">
      <c r="A62" s="33"/>
      <c r="B62" s="34"/>
      <c r="C62" s="33"/>
      <c r="D62" s="33"/>
      <c r="E62" s="33"/>
      <c r="F62" s="33"/>
      <c r="G62" s="43"/>
      <c r="H62" s="43"/>
    </row>
    <row r="63" spans="1:8">
      <c r="A63" s="33"/>
      <c r="B63" s="34"/>
      <c r="C63" s="33"/>
      <c r="D63" s="33"/>
      <c r="E63" s="33"/>
      <c r="F63" s="33"/>
      <c r="G63" s="33"/>
      <c r="H63" s="33"/>
    </row>
    <row r="64" spans="1:8">
      <c r="A64" s="33"/>
      <c r="B64" s="34"/>
      <c r="C64" s="33"/>
      <c r="D64" s="33"/>
      <c r="E64" s="33"/>
      <c r="F64" s="33"/>
      <c r="G64" s="33"/>
      <c r="H64" s="33"/>
    </row>
    <row r="65" spans="1:9">
      <c r="A65" s="33"/>
      <c r="B65" s="34"/>
      <c r="C65" s="33"/>
      <c r="D65" s="33"/>
      <c r="E65" s="33"/>
      <c r="F65" s="33"/>
      <c r="G65" s="33"/>
      <c r="H65" s="33"/>
    </row>
    <row r="66" spans="1:9">
      <c r="A66" s="54"/>
      <c r="B66" s="55"/>
      <c r="C66" s="55"/>
      <c r="D66" s="55"/>
      <c r="E66" s="55"/>
      <c r="F66" s="55"/>
      <c r="G66" s="55"/>
      <c r="H66" s="55"/>
    </row>
    <row r="67" spans="1:9">
      <c r="A67" s="55"/>
      <c r="B67" s="55"/>
      <c r="C67" s="55"/>
      <c r="D67" s="55"/>
      <c r="E67" s="55"/>
      <c r="F67" s="55"/>
      <c r="G67" s="55"/>
      <c r="H67" s="55"/>
    </row>
    <row r="68" spans="1:9">
      <c r="A68" s="56"/>
      <c r="B68" s="56"/>
      <c r="C68" s="56"/>
      <c r="D68" s="56"/>
      <c r="E68" s="56"/>
      <c r="F68" s="56"/>
      <c r="G68" s="56"/>
      <c r="H68" s="56"/>
    </row>
    <row r="69" spans="1:9">
      <c r="A69" s="77" t="s">
        <v>42</v>
      </c>
      <c r="B69" s="77"/>
      <c r="C69" s="77"/>
      <c r="D69" s="77"/>
      <c r="E69" s="77"/>
      <c r="F69" s="77"/>
      <c r="G69" s="77"/>
      <c r="H69" s="77"/>
      <c r="I69" s="47"/>
    </row>
    <row r="70" spans="1:9">
      <c r="A70" s="77" t="s">
        <v>77</v>
      </c>
      <c r="B70" s="77"/>
      <c r="C70" s="77"/>
      <c r="D70" s="77"/>
      <c r="E70" s="77"/>
      <c r="F70" s="77"/>
      <c r="G70" s="77"/>
      <c r="H70" s="77"/>
      <c r="I70" s="47"/>
    </row>
    <row r="71" spans="1:9">
      <c r="A71" s="77" t="s">
        <v>44</v>
      </c>
      <c r="B71" s="77"/>
      <c r="C71" s="77"/>
      <c r="D71" s="77"/>
      <c r="E71" s="77"/>
      <c r="F71" s="77"/>
      <c r="G71" s="77"/>
      <c r="H71" s="77"/>
      <c r="I71" s="47"/>
    </row>
    <row r="72" spans="1:9">
      <c r="A72" s="77" t="s">
        <v>45</v>
      </c>
      <c r="B72" s="77"/>
      <c r="C72" s="77"/>
      <c r="D72" s="77"/>
      <c r="E72" s="77"/>
      <c r="F72" s="77"/>
      <c r="G72" s="77"/>
      <c r="H72" s="77"/>
      <c r="I72" s="47"/>
    </row>
  </sheetData>
  <mergeCells count="44">
    <mergeCell ref="A4:C4"/>
    <mergeCell ref="G4:H4"/>
    <mergeCell ref="H1:I1"/>
    <mergeCell ref="A2:C2"/>
    <mergeCell ref="G2:H2"/>
    <mergeCell ref="A3:C3"/>
    <mergeCell ref="G3:H3"/>
    <mergeCell ref="A5:C5"/>
    <mergeCell ref="G5:H5"/>
    <mergeCell ref="A6:C6"/>
    <mergeCell ref="G6:H6"/>
    <mergeCell ref="A7:C7"/>
    <mergeCell ref="G7:H7"/>
    <mergeCell ref="A8:C8"/>
    <mergeCell ref="G8:H8"/>
    <mergeCell ref="A9:C9"/>
    <mergeCell ref="G9:H9"/>
    <mergeCell ref="A10:C10"/>
    <mergeCell ref="G10:H10"/>
    <mergeCell ref="B30:C30"/>
    <mergeCell ref="A11:C11"/>
    <mergeCell ref="G11:H11"/>
    <mergeCell ref="G12:H12"/>
    <mergeCell ref="G14:H14"/>
    <mergeCell ref="G15:H15"/>
    <mergeCell ref="A16:C16"/>
    <mergeCell ref="G16:H16"/>
    <mergeCell ref="G17:H17"/>
    <mergeCell ref="G18:H18"/>
    <mergeCell ref="G19:H19"/>
    <mergeCell ref="A27:H27"/>
    <mergeCell ref="B29:C29"/>
    <mergeCell ref="A72:H72"/>
    <mergeCell ref="B31:C31"/>
    <mergeCell ref="A32:C32"/>
    <mergeCell ref="A35:B35"/>
    <mergeCell ref="A36:B36"/>
    <mergeCell ref="A37:B37"/>
    <mergeCell ref="F42:H42"/>
    <mergeCell ref="F43:H43"/>
    <mergeCell ref="F44:H44"/>
    <mergeCell ref="A69:H69"/>
    <mergeCell ref="A70:H70"/>
    <mergeCell ref="A71:H71"/>
  </mergeCells>
  <hyperlinks>
    <hyperlink ref="G16" r:id="rId1" display="eah@europe-afrique-holding.com" xr:uid="{171D5DED-7C96-4CB1-90A5-4F7E9AF695A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F81D-BD66-4692-BE87-5591D92BC07F}">
  <dimension ref="A1:I72"/>
  <sheetViews>
    <sheetView tabSelected="1" topLeftCell="A24" workbookViewId="0">
      <selection activeCell="B30" sqref="B30:C30"/>
    </sheetView>
  </sheetViews>
  <sheetFormatPr defaultColWidth="11.44140625" defaultRowHeight="14.4"/>
  <cols>
    <col min="3" max="3" width="24.33203125" customWidth="1"/>
    <col min="4" max="4" width="24.109375" customWidth="1"/>
    <col min="5" max="5" width="17.6640625" customWidth="1"/>
    <col min="7" max="7" width="21" customWidth="1"/>
    <col min="9" max="9" width="26.33203125" customWidth="1"/>
  </cols>
  <sheetData>
    <row r="1" spans="1:9">
      <c r="A1" s="23"/>
      <c r="B1" s="24"/>
      <c r="I1" s="33"/>
    </row>
    <row r="2" spans="1:9">
      <c r="A2" s="96" t="s">
        <v>0</v>
      </c>
      <c r="B2" s="96"/>
      <c r="C2" s="96"/>
      <c r="G2" s="97" t="s">
        <v>1</v>
      </c>
      <c r="H2" s="97"/>
      <c r="I2" s="97"/>
    </row>
    <row r="3" spans="1:9">
      <c r="A3" s="92" t="s">
        <v>2</v>
      </c>
      <c r="B3" s="92"/>
      <c r="C3" s="92"/>
      <c r="G3" s="93" t="s">
        <v>3</v>
      </c>
      <c r="H3" s="93"/>
      <c r="I3" s="93"/>
    </row>
    <row r="4" spans="1:9">
      <c r="A4" s="98" t="s">
        <v>4</v>
      </c>
      <c r="B4" s="98"/>
      <c r="C4" s="98"/>
      <c r="G4" s="93" t="s">
        <v>5</v>
      </c>
      <c r="H4" s="93"/>
      <c r="I4" s="93"/>
    </row>
    <row r="5" spans="1:9" ht="18">
      <c r="A5" s="92" t="s">
        <v>6</v>
      </c>
      <c r="B5" s="92"/>
      <c r="C5" s="92"/>
      <c r="D5" s="26"/>
      <c r="E5" s="26"/>
      <c r="F5" s="26"/>
      <c r="G5" s="93" t="s">
        <v>7</v>
      </c>
      <c r="H5" s="93"/>
      <c r="I5" s="93"/>
    </row>
    <row r="6" spans="1:9" ht="18">
      <c r="A6" s="92" t="s">
        <v>8</v>
      </c>
      <c r="B6" s="92"/>
      <c r="C6" s="92"/>
      <c r="D6" s="26"/>
      <c r="E6" s="26"/>
      <c r="F6" s="26"/>
      <c r="G6" s="93" t="s">
        <v>9</v>
      </c>
      <c r="H6" s="93"/>
      <c r="I6" s="93"/>
    </row>
    <row r="7" spans="1:9" ht="18">
      <c r="A7" s="94" t="s">
        <v>46</v>
      </c>
      <c r="B7" s="94"/>
      <c r="C7" s="94"/>
      <c r="D7" s="26"/>
      <c r="E7" s="26"/>
      <c r="F7" s="26"/>
      <c r="G7" s="93" t="s">
        <v>15</v>
      </c>
      <c r="H7" s="93"/>
      <c r="I7" s="93"/>
    </row>
    <row r="8" spans="1:9" ht="18">
      <c r="A8" s="92" t="s">
        <v>12</v>
      </c>
      <c r="B8" s="92"/>
      <c r="C8" s="92"/>
      <c r="D8" s="26"/>
      <c r="E8" s="26"/>
      <c r="F8" s="26"/>
      <c r="G8" s="93" t="s">
        <v>47</v>
      </c>
      <c r="H8" s="93"/>
      <c r="I8" s="93"/>
    </row>
    <row r="9" spans="1:9" ht="18">
      <c r="A9" s="94" t="s">
        <v>14</v>
      </c>
      <c r="B9" s="94"/>
      <c r="C9" s="94"/>
      <c r="D9" s="26"/>
      <c r="E9" s="26"/>
      <c r="F9" s="26"/>
      <c r="G9" s="93" t="s">
        <v>15</v>
      </c>
      <c r="H9" s="93"/>
      <c r="I9" s="93"/>
    </row>
    <row r="10" spans="1:9" ht="18">
      <c r="A10" s="95" t="s">
        <v>48</v>
      </c>
      <c r="B10" s="95"/>
      <c r="C10" s="95"/>
      <c r="D10" s="26"/>
      <c r="E10" s="26"/>
      <c r="F10" s="26"/>
      <c r="G10" s="77" t="s">
        <v>17</v>
      </c>
      <c r="H10" s="77"/>
      <c r="I10" s="77"/>
    </row>
    <row r="11" spans="1:9" ht="18">
      <c r="A11" s="87" t="s">
        <v>49</v>
      </c>
      <c r="B11" s="87"/>
      <c r="C11" s="87"/>
      <c r="D11" s="26"/>
      <c r="E11" s="26"/>
      <c r="F11" s="26"/>
      <c r="G11" s="88" t="s">
        <v>50</v>
      </c>
      <c r="H11" s="88"/>
      <c r="I11" s="88"/>
    </row>
    <row r="12" spans="1:9" ht="18">
      <c r="A12" s="27" t="s">
        <v>20</v>
      </c>
      <c r="B12" s="27"/>
      <c r="C12" s="27"/>
      <c r="D12" s="26"/>
      <c r="E12" s="26"/>
      <c r="F12" s="26"/>
      <c r="G12" s="89" t="s">
        <v>21</v>
      </c>
      <c r="H12" s="89"/>
      <c r="I12" s="89"/>
    </row>
    <row r="13" spans="1:9" ht="17.399999999999999">
      <c r="A13" s="28"/>
      <c r="B13" s="28"/>
      <c r="C13" s="28"/>
      <c r="D13" s="29"/>
      <c r="E13" s="29"/>
      <c r="F13" s="29"/>
      <c r="G13" s="29"/>
      <c r="H13" s="30"/>
      <c r="I13" s="31"/>
    </row>
    <row r="14" spans="1:9" ht="17.399999999999999">
      <c r="A14" s="28"/>
      <c r="B14" s="28"/>
      <c r="C14" s="28"/>
      <c r="D14" s="29"/>
      <c r="E14" s="29"/>
      <c r="F14" s="29"/>
      <c r="G14" s="29"/>
      <c r="H14" s="102"/>
      <c r="I14" s="102"/>
    </row>
    <row r="15" spans="1:9" ht="17.399999999999999">
      <c r="A15" s="28"/>
      <c r="B15" s="28"/>
      <c r="C15" s="28"/>
      <c r="D15" s="29"/>
      <c r="E15" s="29"/>
      <c r="F15" s="29"/>
      <c r="G15" s="29"/>
      <c r="H15" s="78" t="s">
        <v>59</v>
      </c>
      <c r="I15" s="78"/>
    </row>
    <row r="16" spans="1:9" ht="17.399999999999999">
      <c r="A16" s="90" t="s">
        <v>22</v>
      </c>
      <c r="B16" s="90"/>
      <c r="C16" s="90"/>
      <c r="D16" s="29"/>
      <c r="E16" s="29"/>
      <c r="F16" s="29"/>
      <c r="G16" s="29"/>
      <c r="H16" s="91" t="s">
        <v>60</v>
      </c>
      <c r="I16" s="78"/>
    </row>
    <row r="17" spans="1:9" ht="17.399999999999999">
      <c r="A17" s="32"/>
      <c r="B17" s="32"/>
      <c r="C17" s="32"/>
      <c r="D17" s="29"/>
      <c r="E17" s="29"/>
      <c r="F17" s="29"/>
      <c r="G17" s="29"/>
      <c r="H17" s="104" t="s">
        <v>61</v>
      </c>
      <c r="I17" s="78"/>
    </row>
    <row r="18" spans="1:9">
      <c r="A18" s="33"/>
      <c r="B18" s="34"/>
      <c r="C18" s="33"/>
      <c r="D18" s="33"/>
      <c r="E18" s="33"/>
      <c r="F18" s="33"/>
      <c r="G18" s="33"/>
      <c r="H18" s="78" t="s">
        <v>62</v>
      </c>
      <c r="I18" s="78"/>
    </row>
    <row r="19" spans="1:9">
      <c r="A19" s="33"/>
      <c r="B19" s="34"/>
      <c r="C19" s="33"/>
      <c r="D19" s="33"/>
      <c r="E19" s="33"/>
      <c r="F19" s="33"/>
      <c r="G19" s="33"/>
      <c r="H19" s="78"/>
      <c r="I19" s="78"/>
    </row>
    <row r="20" spans="1:9">
      <c r="A20" s="33" t="s">
        <v>63</v>
      </c>
      <c r="B20" s="34"/>
      <c r="C20" s="33"/>
      <c r="D20" s="33"/>
      <c r="E20" s="33"/>
      <c r="F20" s="33"/>
      <c r="G20" s="33"/>
      <c r="H20" s="33"/>
      <c r="I20" s="33"/>
    </row>
    <row r="21" spans="1:9">
      <c r="A21" s="33"/>
      <c r="B21" s="34"/>
      <c r="C21" s="33"/>
      <c r="D21" s="33"/>
      <c r="E21" s="33"/>
      <c r="F21" s="33"/>
      <c r="G21" s="33"/>
      <c r="H21" s="33"/>
      <c r="I21" s="33"/>
    </row>
    <row r="22" spans="1:9">
      <c r="A22" s="33"/>
      <c r="B22" s="34"/>
      <c r="C22" s="33"/>
      <c r="D22" s="33"/>
      <c r="E22" s="33"/>
      <c r="F22" s="33"/>
      <c r="G22" s="33"/>
      <c r="H22" s="33"/>
      <c r="I22" s="33"/>
    </row>
    <row r="23" spans="1:9">
      <c r="A23" s="33"/>
      <c r="B23" s="34"/>
      <c r="C23" s="33"/>
      <c r="D23" s="33"/>
      <c r="E23" s="33"/>
      <c r="F23" s="33"/>
      <c r="G23" s="33"/>
      <c r="H23" s="33"/>
      <c r="I23" s="33"/>
    </row>
    <row r="24" spans="1:9">
      <c r="A24" s="33"/>
      <c r="B24" s="34"/>
      <c r="C24" s="33"/>
      <c r="D24" s="33"/>
      <c r="E24" s="33"/>
      <c r="F24" s="33"/>
      <c r="G24" s="33"/>
      <c r="H24" s="33"/>
      <c r="I24" s="33"/>
    </row>
    <row r="25" spans="1:9">
      <c r="A25" s="33"/>
      <c r="B25" s="34"/>
      <c r="C25" s="33"/>
      <c r="D25" s="33"/>
      <c r="E25" s="33"/>
      <c r="F25" s="33"/>
      <c r="G25" s="33"/>
      <c r="H25" s="33"/>
      <c r="I25" s="33"/>
    </row>
    <row r="26" spans="1:9" ht="15" thickBot="1">
      <c r="A26" s="33"/>
      <c r="B26" s="34"/>
      <c r="C26" s="33"/>
      <c r="D26" s="33"/>
      <c r="E26" s="33"/>
      <c r="F26" s="33"/>
      <c r="G26" s="33"/>
      <c r="H26" s="33"/>
      <c r="I26" s="33"/>
    </row>
    <row r="27" spans="1:9" ht="18" thickBot="1">
      <c r="A27" s="79" t="s">
        <v>27</v>
      </c>
      <c r="B27" s="80"/>
      <c r="C27" s="80"/>
      <c r="D27" s="80"/>
      <c r="E27" s="80"/>
      <c r="F27" s="80"/>
      <c r="G27" s="80"/>
      <c r="H27" s="80"/>
      <c r="I27" s="81"/>
    </row>
    <row r="28" spans="1:9">
      <c r="A28" s="33"/>
      <c r="B28" s="34"/>
      <c r="C28" s="33"/>
      <c r="D28" s="33"/>
      <c r="E28" s="33"/>
      <c r="F28" s="33"/>
      <c r="G28" s="33"/>
      <c r="H28" s="33"/>
      <c r="I28" s="33"/>
    </row>
    <row r="29" spans="1:9" ht="27.6">
      <c r="A29" s="36" t="s">
        <v>28</v>
      </c>
      <c r="B29" s="82" t="s">
        <v>29</v>
      </c>
      <c r="C29" s="82"/>
      <c r="D29" s="37" t="s">
        <v>30</v>
      </c>
      <c r="E29" s="37" t="s">
        <v>64</v>
      </c>
      <c r="F29" s="36" t="s">
        <v>31</v>
      </c>
      <c r="G29" s="36" t="s">
        <v>32</v>
      </c>
      <c r="H29" s="36" t="s">
        <v>65</v>
      </c>
      <c r="I29" s="36" t="s">
        <v>34</v>
      </c>
    </row>
    <row r="30" spans="1:9">
      <c r="A30" s="38" t="s">
        <v>35</v>
      </c>
      <c r="B30" s="107" t="s">
        <v>66</v>
      </c>
      <c r="C30" s="107"/>
      <c r="D30" s="39">
        <v>8921000</v>
      </c>
      <c r="E30" s="39">
        <f>D30*20%</f>
        <v>1784200</v>
      </c>
      <c r="F30" s="41">
        <f>E30*19.25%</f>
        <v>343458.5</v>
      </c>
      <c r="G30" s="41">
        <f>D30+F30</f>
        <v>9264458.5</v>
      </c>
      <c r="H30" s="41">
        <f>E30*2.2%</f>
        <v>39252.400000000001</v>
      </c>
      <c r="I30" s="41">
        <f>D30-H30</f>
        <v>8881747.5999999996</v>
      </c>
    </row>
    <row r="31" spans="1:9">
      <c r="A31" s="101" t="s">
        <v>56</v>
      </c>
      <c r="B31" s="101"/>
      <c r="C31" s="101"/>
      <c r="D31" s="39">
        <f>SUM(D30:D30)</f>
        <v>8921000</v>
      </c>
      <c r="E31" s="39">
        <f>SUM(E30:E30)</f>
        <v>1784200</v>
      </c>
      <c r="F31" s="45">
        <f>SUM(F30:F30)</f>
        <v>343458.5</v>
      </c>
      <c r="G31" s="45">
        <f>SUM(G30:G30)</f>
        <v>9264458.5</v>
      </c>
      <c r="H31" s="45">
        <f>SUM(H30:H30)</f>
        <v>39252.400000000001</v>
      </c>
      <c r="I31" s="42">
        <f>SUM(I30:I30)</f>
        <v>8881747.5999999996</v>
      </c>
    </row>
    <row r="32" spans="1:9">
      <c r="A32" s="33"/>
      <c r="B32" s="43"/>
      <c r="C32" s="43"/>
      <c r="D32" s="33"/>
      <c r="E32" s="33"/>
      <c r="F32" s="33"/>
      <c r="G32" s="33"/>
      <c r="H32" s="33"/>
      <c r="I32" s="33"/>
    </row>
    <row r="33" spans="1:9">
      <c r="A33" s="33"/>
      <c r="B33" s="44"/>
      <c r="C33" s="44"/>
      <c r="D33" s="33"/>
      <c r="E33" s="33"/>
      <c r="F33" s="33"/>
      <c r="G33" s="33"/>
      <c r="H33" s="33"/>
      <c r="I33" s="33"/>
    </row>
    <row r="34" spans="1:9">
      <c r="A34" s="85" t="s">
        <v>36</v>
      </c>
      <c r="B34" s="85"/>
      <c r="C34" s="42">
        <f>+F31</f>
        <v>343458.5</v>
      </c>
      <c r="D34" s="33"/>
      <c r="E34" s="33"/>
      <c r="F34" s="33"/>
      <c r="G34" s="33"/>
      <c r="H34" s="33"/>
      <c r="I34" s="33"/>
    </row>
    <row r="35" spans="1:9">
      <c r="A35" s="85" t="s">
        <v>37</v>
      </c>
      <c r="B35" s="85"/>
      <c r="C35" s="45">
        <f>+H31</f>
        <v>39252.400000000001</v>
      </c>
      <c r="D35" s="33"/>
      <c r="E35" s="33"/>
      <c r="F35" s="33"/>
      <c r="G35" s="33"/>
      <c r="H35" s="33"/>
      <c r="I35" s="33" t="s">
        <v>67</v>
      </c>
    </row>
    <row r="36" spans="1:9">
      <c r="A36" s="86" t="s">
        <v>38</v>
      </c>
      <c r="B36" s="86"/>
      <c r="C36" s="46">
        <f>+C34+C35</f>
        <v>382710.9</v>
      </c>
      <c r="D36" s="33"/>
      <c r="E36" s="33"/>
      <c r="F36" s="33"/>
      <c r="G36" s="33"/>
      <c r="H36" s="33"/>
      <c r="I36" s="33"/>
    </row>
    <row r="37" spans="1:9">
      <c r="A37" s="33"/>
      <c r="B37" s="43"/>
      <c r="C37" s="43"/>
      <c r="D37" s="33"/>
      <c r="E37" s="33"/>
      <c r="F37" s="33"/>
      <c r="G37" s="33"/>
      <c r="H37" s="33"/>
      <c r="I37" s="33"/>
    </row>
    <row r="38" spans="1:9">
      <c r="A38" s="33"/>
      <c r="B38" s="43"/>
      <c r="C38" s="43"/>
      <c r="D38" s="33"/>
      <c r="E38" s="33"/>
      <c r="F38" s="33"/>
      <c r="G38" s="33"/>
      <c r="H38" s="33"/>
      <c r="I38" s="33"/>
    </row>
    <row r="39" spans="1:9">
      <c r="A39" s="33"/>
      <c r="B39" s="43"/>
      <c r="C39" s="43"/>
      <c r="D39" s="33"/>
      <c r="E39" s="33"/>
      <c r="F39" s="33"/>
      <c r="G39" s="33"/>
      <c r="H39" s="33"/>
      <c r="I39" s="33"/>
    </row>
    <row r="40" spans="1:9">
      <c r="A40" s="33"/>
      <c r="B40" s="44"/>
      <c r="C40" s="44"/>
      <c r="D40" s="33"/>
      <c r="E40" s="33"/>
      <c r="F40" s="33"/>
      <c r="G40" s="33"/>
      <c r="H40" s="33"/>
      <c r="I40" s="33"/>
    </row>
    <row r="41" spans="1:9">
      <c r="A41" s="33"/>
      <c r="B41" s="44" t="s">
        <v>40</v>
      </c>
      <c r="C41" s="44"/>
      <c r="D41" s="44"/>
      <c r="E41" s="44"/>
      <c r="F41" s="33"/>
      <c r="G41" s="76" t="s">
        <v>57</v>
      </c>
      <c r="H41" s="76"/>
      <c r="I41" s="76"/>
    </row>
    <row r="42" spans="1:9">
      <c r="A42" s="33"/>
      <c r="B42" s="76"/>
      <c r="C42" s="76"/>
      <c r="D42" s="76"/>
      <c r="E42" s="43"/>
      <c r="F42" s="33"/>
      <c r="G42" s="76"/>
      <c r="H42" s="76"/>
      <c r="I42" s="76"/>
    </row>
    <row r="43" spans="1:9">
      <c r="A43" s="33"/>
      <c r="B43" s="44"/>
      <c r="C43" s="44"/>
      <c r="D43" s="44"/>
      <c r="E43" s="44"/>
      <c r="F43" s="33"/>
      <c r="G43" s="76"/>
      <c r="H43" s="76"/>
      <c r="I43" s="76"/>
    </row>
    <row r="44" spans="1:9">
      <c r="A44" s="33"/>
      <c r="B44" s="34"/>
      <c r="C44" s="33"/>
      <c r="D44" s="33"/>
      <c r="E44" s="33"/>
      <c r="F44" s="33"/>
      <c r="G44" s="33"/>
      <c r="H44" s="43"/>
      <c r="I44" s="43"/>
    </row>
    <row r="45" spans="1:9">
      <c r="A45" s="33"/>
      <c r="B45" s="34"/>
      <c r="C45" s="33"/>
      <c r="D45" s="33"/>
      <c r="E45" s="33"/>
      <c r="F45" s="33"/>
      <c r="G45" s="33"/>
      <c r="H45" s="43"/>
      <c r="I45" s="43"/>
    </row>
    <row r="46" spans="1:9">
      <c r="A46" s="33"/>
      <c r="B46" s="34"/>
      <c r="C46" s="33"/>
      <c r="D46" s="33"/>
      <c r="E46" s="33"/>
      <c r="F46" s="33"/>
      <c r="G46" s="33"/>
      <c r="H46" s="43"/>
      <c r="I46" s="43"/>
    </row>
    <row r="47" spans="1:9">
      <c r="A47" s="33"/>
      <c r="B47" s="34"/>
      <c r="C47" s="33"/>
      <c r="D47" s="33"/>
      <c r="E47" s="33"/>
      <c r="F47" s="33"/>
      <c r="G47" s="33"/>
      <c r="H47" s="43"/>
      <c r="I47" s="43"/>
    </row>
    <row r="48" spans="1:9">
      <c r="A48" s="33"/>
      <c r="B48" s="34"/>
      <c r="C48" s="33"/>
      <c r="D48" s="33"/>
      <c r="E48" s="33"/>
      <c r="F48" s="33"/>
      <c r="G48" s="33"/>
      <c r="H48" s="43"/>
      <c r="I48" s="43"/>
    </row>
    <row r="49" spans="1:9">
      <c r="A49" s="33"/>
      <c r="B49" s="34"/>
      <c r="C49" s="33"/>
      <c r="D49" s="33"/>
      <c r="E49" s="33"/>
      <c r="F49" s="33"/>
      <c r="G49" s="33"/>
      <c r="H49" s="43"/>
      <c r="I49" s="43"/>
    </row>
    <row r="50" spans="1:9">
      <c r="A50" s="33"/>
      <c r="B50" s="34"/>
      <c r="C50" s="33"/>
      <c r="D50" s="33"/>
      <c r="E50" s="33"/>
      <c r="F50" s="33"/>
      <c r="G50" s="33"/>
      <c r="H50" s="43"/>
      <c r="I50" s="43"/>
    </row>
    <row r="51" spans="1:9">
      <c r="A51" s="33"/>
      <c r="B51" s="34"/>
      <c r="C51" s="33"/>
      <c r="D51" s="33"/>
      <c r="E51" s="33"/>
      <c r="F51" s="33"/>
      <c r="G51" s="33"/>
      <c r="H51" s="43"/>
      <c r="I51" s="43"/>
    </row>
    <row r="52" spans="1:9">
      <c r="A52" s="33"/>
      <c r="B52" s="34"/>
      <c r="C52" s="33"/>
      <c r="D52" s="33"/>
      <c r="E52" s="33"/>
      <c r="F52" s="33"/>
      <c r="G52" s="33"/>
      <c r="H52" s="43"/>
      <c r="I52" s="43"/>
    </row>
    <row r="53" spans="1:9">
      <c r="A53" s="33"/>
      <c r="B53" s="34"/>
      <c r="C53" s="33"/>
      <c r="D53" s="33"/>
      <c r="E53" s="33"/>
      <c r="F53" s="33"/>
      <c r="G53" s="33"/>
      <c r="H53" s="43"/>
      <c r="I53" s="43"/>
    </row>
    <row r="54" spans="1:9">
      <c r="A54" s="33"/>
      <c r="B54" s="34"/>
      <c r="C54" s="33"/>
      <c r="D54" s="33"/>
      <c r="E54" s="33"/>
      <c r="F54" s="33"/>
      <c r="G54" s="33"/>
      <c r="H54" s="43"/>
      <c r="I54" s="43"/>
    </row>
    <row r="55" spans="1:9">
      <c r="A55" s="33"/>
      <c r="B55" s="34"/>
      <c r="C55" s="33"/>
      <c r="D55" s="33"/>
      <c r="E55" s="33"/>
      <c r="F55" s="33"/>
      <c r="G55" s="33"/>
      <c r="H55" s="43"/>
      <c r="I55" s="43"/>
    </row>
    <row r="56" spans="1:9">
      <c r="A56" s="33"/>
      <c r="B56" s="34"/>
      <c r="C56" s="33"/>
      <c r="D56" s="33"/>
      <c r="E56" s="33"/>
      <c r="F56" s="33"/>
      <c r="G56" s="33"/>
      <c r="H56" s="43"/>
      <c r="I56" s="43"/>
    </row>
    <row r="57" spans="1:9">
      <c r="A57" s="33"/>
      <c r="B57" s="34"/>
      <c r="C57" s="33"/>
      <c r="D57" s="33"/>
      <c r="E57" s="33"/>
      <c r="F57" s="33"/>
      <c r="G57" s="33"/>
      <c r="H57" s="43"/>
      <c r="I57" s="43"/>
    </row>
    <row r="58" spans="1:9">
      <c r="A58" s="33"/>
      <c r="B58" s="34"/>
      <c r="C58" s="33"/>
      <c r="D58" s="33"/>
      <c r="E58" s="33"/>
      <c r="F58" s="33"/>
      <c r="G58" s="33"/>
      <c r="H58" s="43"/>
      <c r="I58" s="43"/>
    </row>
    <row r="59" spans="1:9">
      <c r="A59" s="33"/>
      <c r="B59" s="34"/>
      <c r="C59" s="33"/>
      <c r="D59" s="33"/>
      <c r="E59" s="33"/>
      <c r="F59" s="33"/>
      <c r="G59" s="33"/>
      <c r="H59" s="43"/>
      <c r="I59" s="43"/>
    </row>
    <row r="60" spans="1:9">
      <c r="A60" s="33"/>
      <c r="B60" s="34"/>
      <c r="C60" s="33"/>
      <c r="D60" s="33"/>
      <c r="E60" s="33"/>
      <c r="F60" s="33"/>
      <c r="G60" s="33"/>
      <c r="H60" s="43"/>
      <c r="I60" s="43"/>
    </row>
    <row r="61" spans="1:9">
      <c r="A61" s="33"/>
      <c r="B61" s="34"/>
      <c r="C61" s="33"/>
      <c r="D61" s="33"/>
      <c r="E61" s="33"/>
      <c r="F61" s="33"/>
      <c r="G61" s="33"/>
      <c r="H61" s="43"/>
      <c r="I61" s="43"/>
    </row>
    <row r="62" spans="1:9">
      <c r="A62" s="33"/>
      <c r="B62" s="34"/>
      <c r="C62" s="33"/>
      <c r="D62" s="33"/>
      <c r="E62" s="33"/>
      <c r="F62" s="33"/>
      <c r="G62" s="33"/>
      <c r="H62" s="43"/>
      <c r="I62" s="43"/>
    </row>
    <row r="63" spans="1:9">
      <c r="A63" s="33"/>
      <c r="B63" s="34"/>
      <c r="C63" s="33"/>
      <c r="D63" s="33"/>
      <c r="E63" s="33"/>
      <c r="F63" s="33"/>
      <c r="G63" s="33"/>
      <c r="H63" s="43"/>
      <c r="I63" s="43"/>
    </row>
    <row r="64" spans="1:9">
      <c r="A64" s="33"/>
      <c r="B64" s="34"/>
      <c r="C64" s="33"/>
      <c r="D64" s="33"/>
      <c r="E64" s="33"/>
      <c r="F64" s="33"/>
      <c r="G64" s="33"/>
      <c r="H64" s="43"/>
      <c r="I64" s="43"/>
    </row>
    <row r="65" spans="1:9">
      <c r="A65" s="33"/>
      <c r="B65" s="34"/>
      <c r="C65" s="33"/>
      <c r="D65" s="33"/>
      <c r="E65" s="33"/>
      <c r="F65" s="33"/>
      <c r="G65" s="33"/>
      <c r="H65" s="43"/>
      <c r="I65" s="43"/>
    </row>
    <row r="66" spans="1:9">
      <c r="A66" s="33"/>
      <c r="B66" s="34"/>
      <c r="C66" s="33"/>
      <c r="D66" s="33"/>
      <c r="E66" s="33"/>
      <c r="F66" s="33"/>
      <c r="G66" s="33"/>
      <c r="H66" s="33"/>
      <c r="I66" s="33"/>
    </row>
    <row r="67" spans="1:9">
      <c r="A67" s="33"/>
      <c r="B67" s="34"/>
      <c r="C67" s="33"/>
      <c r="D67" s="33"/>
      <c r="E67" s="33"/>
      <c r="F67" s="33"/>
      <c r="G67" s="33"/>
      <c r="H67" s="33"/>
      <c r="I67" s="33"/>
    </row>
    <row r="68" spans="1:9">
      <c r="A68" s="33"/>
      <c r="B68" s="34"/>
      <c r="C68" s="33"/>
      <c r="D68" s="33"/>
      <c r="E68" s="33"/>
      <c r="F68" s="33"/>
      <c r="G68" s="33"/>
      <c r="H68" s="33"/>
      <c r="I68" s="33"/>
    </row>
    <row r="69" spans="1:9">
      <c r="A69" s="106" t="s">
        <v>42</v>
      </c>
      <c r="B69" s="106"/>
      <c r="C69" s="106"/>
      <c r="D69" s="106"/>
      <c r="E69" s="106"/>
      <c r="F69" s="106"/>
      <c r="G69" s="106"/>
      <c r="H69" s="106"/>
      <c r="I69" s="106"/>
    </row>
    <row r="70" spans="1:9">
      <c r="A70" s="106" t="s">
        <v>58</v>
      </c>
      <c r="B70" s="106"/>
      <c r="C70" s="106"/>
      <c r="D70" s="106"/>
      <c r="E70" s="106"/>
      <c r="F70" s="106"/>
      <c r="G70" s="106"/>
      <c r="H70" s="106"/>
      <c r="I70" s="106"/>
    </row>
    <row r="71" spans="1:9">
      <c r="A71" s="106" t="s">
        <v>44</v>
      </c>
      <c r="B71" s="106"/>
      <c r="C71" s="106"/>
      <c r="D71" s="106"/>
      <c r="E71" s="106"/>
      <c r="F71" s="106"/>
      <c r="G71" s="106"/>
      <c r="H71" s="106"/>
      <c r="I71" s="106"/>
    </row>
    <row r="72" spans="1:9">
      <c r="A72" s="106" t="s">
        <v>45</v>
      </c>
      <c r="B72" s="106"/>
      <c r="C72" s="106"/>
      <c r="D72" s="106"/>
      <c r="E72" s="106"/>
      <c r="F72" s="106"/>
      <c r="G72" s="106"/>
      <c r="H72" s="106"/>
      <c r="I72" s="106"/>
    </row>
  </sheetData>
  <mergeCells count="43">
    <mergeCell ref="A2:C2"/>
    <mergeCell ref="G2:I2"/>
    <mergeCell ref="A3:C3"/>
    <mergeCell ref="G3:I3"/>
    <mergeCell ref="A4:C4"/>
    <mergeCell ref="G4:I4"/>
    <mergeCell ref="A5:C5"/>
    <mergeCell ref="G5:I5"/>
    <mergeCell ref="A6:C6"/>
    <mergeCell ref="G6:I6"/>
    <mergeCell ref="A7:C7"/>
    <mergeCell ref="G7:I7"/>
    <mergeCell ref="A16:C16"/>
    <mergeCell ref="H16:I16"/>
    <mergeCell ref="A8:C8"/>
    <mergeCell ref="G8:I8"/>
    <mergeCell ref="A9:C9"/>
    <mergeCell ref="G9:I9"/>
    <mergeCell ref="A10:C10"/>
    <mergeCell ref="G10:I10"/>
    <mergeCell ref="A11:C11"/>
    <mergeCell ref="G11:I11"/>
    <mergeCell ref="G12:I12"/>
    <mergeCell ref="H14:I14"/>
    <mergeCell ref="H15:I15"/>
    <mergeCell ref="A36:B36"/>
    <mergeCell ref="H17:I17"/>
    <mergeCell ref="H18:I18"/>
    <mergeCell ref="H19:I19"/>
    <mergeCell ref="A27:I27"/>
    <mergeCell ref="B29:C29"/>
    <mergeCell ref="B30:C30"/>
    <mergeCell ref="A31:C31"/>
    <mergeCell ref="A34:B34"/>
    <mergeCell ref="A35:B35"/>
    <mergeCell ref="A71:I71"/>
    <mergeCell ref="A72:I72"/>
    <mergeCell ref="G41:I41"/>
    <mergeCell ref="B42:D42"/>
    <mergeCell ref="G42:I42"/>
    <mergeCell ref="G43:I43"/>
    <mergeCell ref="A69:I69"/>
    <mergeCell ref="A70:I70"/>
  </mergeCells>
  <hyperlinks>
    <hyperlink ref="H16" r:id="rId1" display="serviceplus.camsarl@yahoo.com" xr:uid="{B6A16827-7B1D-4119-A67C-BDADA015C64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SIMPLIFIER</vt:lpstr>
      <vt:lpstr>REEL</vt:lpstr>
      <vt:lpstr>LIBERATOIRE</vt:lpstr>
      <vt:lpstr>Example of multiple invoices</vt:lpstr>
    </vt:vector>
  </TitlesOfParts>
  <Company>REGIE DU TERMINAL A CONTENEURS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ASONGANYI Nora</dc:creator>
  <cp:lastModifiedBy>Hussain Murtaza</cp:lastModifiedBy>
  <dcterms:created xsi:type="dcterms:W3CDTF">2025-08-19T15:38:58Z</dcterms:created>
  <dcterms:modified xsi:type="dcterms:W3CDTF">2025-08-25T19:03:11Z</dcterms:modified>
</cp:coreProperties>
</file>